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ngineering Support Automation Toolkit\Engineering-Support-Automation-Toolkit\excel\Workbook\"/>
    </mc:Choice>
  </mc:AlternateContent>
  <xr:revisionPtr revIDLastSave="0" documentId="13_ncr:1_{8364943F-49E4-44B3-8297-0B3699C746FE}" xr6:coauthVersionLast="47" xr6:coauthVersionMax="47" xr10:uidLastSave="{00000000-0000-0000-0000-000000000000}"/>
  <bookViews>
    <workbookView xWindow="-120" yWindow="-120" windowWidth="29040" windowHeight="15720" xr2:uid="{D99F4DE9-C5A4-4BE4-972D-6FFDBD7A20CE}"/>
  </bookViews>
  <sheets>
    <sheet name="Dashboard" sheetId="1" r:id="rId1"/>
    <sheet name="Projects" sheetId="2" r:id="rId2"/>
    <sheet name="Submittals" sheetId="3" r:id="rId3"/>
    <sheet name="Calculations" sheetId="4" r:id="rId4"/>
    <sheet name="Settings" sheetId="5" r:id="rId5"/>
    <sheet name="Design System" sheetId="6" r:id="rId6"/>
    <sheet name="PivotData" sheetId="7" r:id="rId7"/>
  </sheets>
  <definedNames>
    <definedName name="ClientList">tblClients[Client]</definedName>
    <definedName name="EngineerList">tblEngineers[Engineer]</definedName>
    <definedName name="_xlnm.Print_Area" localSheetId="0">Dashboard!$A$1:$Y$40</definedName>
    <definedName name="PriorityList">tblPriority[Priority]</definedName>
    <definedName name="StatusList">tblStatus[Status]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" i="2" l="1"/>
  <c r="N5" i="2"/>
  <c r="N7" i="2"/>
  <c r="N11" i="2"/>
  <c r="N15" i="2"/>
  <c r="N16" i="2"/>
  <c r="M2" i="2"/>
  <c r="M5" i="2"/>
  <c r="M7" i="2"/>
  <c r="M11" i="2"/>
  <c r="M15" i="2"/>
  <c r="M16" i="2"/>
  <c r="L7" i="2"/>
  <c r="L11" i="2"/>
  <c r="L15" i="2"/>
  <c r="K2" i="2"/>
  <c r="L2" i="2" s="1"/>
  <c r="K5" i="2"/>
  <c r="L5" i="2" s="1"/>
  <c r="K6" i="2"/>
  <c r="L6" i="2" s="1"/>
  <c r="K7" i="2"/>
  <c r="K11" i="2"/>
  <c r="K15" i="2"/>
  <c r="K16" i="2"/>
  <c r="L16" i="2" s="1"/>
  <c r="N2" i="7"/>
  <c r="J11" i="2"/>
  <c r="J12" i="2"/>
  <c r="K12" i="2" s="1"/>
  <c r="L12" i="2" s="1"/>
  <c r="J13" i="2"/>
  <c r="K13" i="2" s="1"/>
  <c r="L13" i="2" s="1"/>
  <c r="J14" i="2"/>
  <c r="K14" i="2" s="1"/>
  <c r="J15" i="2"/>
  <c r="J16" i="2"/>
  <c r="J5" i="2"/>
  <c r="J6" i="2"/>
  <c r="M6" i="2" s="1"/>
  <c r="J7" i="2"/>
  <c r="J8" i="2"/>
  <c r="K8" i="2" s="1"/>
  <c r="L8" i="2" s="1"/>
  <c r="J9" i="2"/>
  <c r="K9" i="2" s="1"/>
  <c r="L9" i="2" s="1"/>
  <c r="J10" i="2"/>
  <c r="K10" i="2" s="1"/>
  <c r="J2" i="2"/>
  <c r="J3" i="2"/>
  <c r="M3" i="2" s="1"/>
  <c r="J4" i="2"/>
  <c r="M4" i="2" s="1"/>
  <c r="M14" i="2" l="1"/>
  <c r="M13" i="2"/>
  <c r="M12" i="2"/>
  <c r="M10" i="2"/>
  <c r="M9" i="2"/>
  <c r="M8" i="2"/>
  <c r="K4" i="2"/>
  <c r="L4" i="2" s="1"/>
  <c r="K3" i="2"/>
  <c r="L3" i="2" s="1"/>
  <c r="AC3" i="4" a="1"/>
  <c r="AC3" i="4" s="1"/>
  <c r="N9" i="2" l="1"/>
  <c r="N10" i="2"/>
  <c r="N12" i="2"/>
  <c r="N8" i="2"/>
  <c r="N14" i="2"/>
  <c r="N6" i="2"/>
  <c r="N13" i="2"/>
  <c r="N3" i="2"/>
  <c r="N4" i="2"/>
  <c r="L10" i="2"/>
  <c r="AG5" i="4" s="1"/>
  <c r="N26" i="1" s="1"/>
  <c r="L14" i="2"/>
  <c r="AF4" i="4"/>
  <c r="K25" i="1" s="1"/>
  <c r="AG4" i="4"/>
  <c r="N25" i="1" s="1"/>
  <c r="AF3" i="4"/>
  <c r="K24" i="1" s="1"/>
  <c r="AG3" i="4"/>
  <c r="N24" i="1" s="1"/>
  <c r="AC4" i="4" a="1"/>
  <c r="AC4" i="4" s="1"/>
  <c r="I24" i="1"/>
  <c r="AA3" i="4"/>
  <c r="D24" i="1" s="1"/>
  <c r="AB3" i="4"/>
  <c r="G24" i="1" s="1"/>
  <c r="AL3" i="4" l="1"/>
  <c r="W24" i="1" s="1"/>
  <c r="AL4" i="4"/>
  <c r="W25" i="1" s="1"/>
  <c r="AL5" i="4"/>
  <c r="W26" i="1" s="1"/>
  <c r="AK3" i="4"/>
  <c r="U24" i="1" s="1"/>
  <c r="AK4" i="4"/>
  <c r="U25" i="1" s="1"/>
  <c r="AK5" i="4"/>
  <c r="U26" i="1" s="1"/>
  <c r="AJ3" i="4"/>
  <c r="R24" i="1" s="1"/>
  <c r="AJ4" i="4"/>
  <c r="R25" i="1" s="1"/>
  <c r="AJ5" i="4"/>
  <c r="R26" i="1" s="1"/>
  <c r="AF5" i="4"/>
  <c r="K26" i="1" s="1"/>
  <c r="AC5" i="4" a="1"/>
  <c r="AC5" i="4" s="1"/>
  <c r="I25" i="1"/>
  <c r="AB4" i="4"/>
  <c r="G25" i="1" s="1"/>
  <c r="AA4" i="4"/>
  <c r="D25" i="1" s="1"/>
  <c r="AA5" i="4" l="1"/>
  <c r="D26" i="1" s="1"/>
  <c r="I26" i="1"/>
  <c r="AB5" i="4"/>
  <c r="G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<sst xmlns="http://schemas.openxmlformats.org/spreadsheetml/2006/main" count="261" uniqueCount="149">
  <si>
    <t>Project ID</t>
  </si>
  <si>
    <t>Project Name</t>
  </si>
  <si>
    <t>Client</t>
  </si>
  <si>
    <t>Engineer</t>
  </si>
  <si>
    <t>Status</t>
  </si>
  <si>
    <t>Start Date</t>
  </si>
  <si>
    <t>Due Date</t>
  </si>
  <si>
    <t>Priority</t>
  </si>
  <si>
    <t>Description</t>
  </si>
  <si>
    <t>Submittal ID</t>
  </si>
  <si>
    <t>Document Name</t>
  </si>
  <si>
    <t>Document Type</t>
  </si>
  <si>
    <t>Date Submitted</t>
  </si>
  <si>
    <t>Reviewed By</t>
  </si>
  <si>
    <t>Remarks</t>
  </si>
  <si>
    <t>Calculation ID</t>
  </si>
  <si>
    <t>Calculation Name</t>
  </si>
  <si>
    <t>Blockpad File</t>
  </si>
  <si>
    <t>Last Updated</t>
  </si>
  <si>
    <t>Planning</t>
  </si>
  <si>
    <t>In Progress</t>
  </si>
  <si>
    <t>For Review</t>
  </si>
  <si>
    <t>Completed</t>
  </si>
  <si>
    <t>Low</t>
  </si>
  <si>
    <t>Medium</t>
  </si>
  <si>
    <t>High</t>
  </si>
  <si>
    <t>Critical</t>
  </si>
  <si>
    <t>ABC Construction</t>
  </si>
  <si>
    <t>XYZ Builders</t>
  </si>
  <si>
    <t>Vertex Engineering</t>
  </si>
  <si>
    <t>PRJ-001</t>
  </si>
  <si>
    <t>Two-Story Residential House</t>
  </si>
  <si>
    <t>Residential structural design</t>
  </si>
  <si>
    <t>PRJ-002</t>
  </si>
  <si>
    <t>Warehouse Expansion</t>
  </si>
  <si>
    <t>Warehouse extension project</t>
  </si>
  <si>
    <t>PRJ-003</t>
  </si>
  <si>
    <t>Office Building Renovation</t>
  </si>
  <si>
    <t>Structural renovation</t>
  </si>
  <si>
    <t>On Hold</t>
  </si>
  <si>
    <t>Cancelled</t>
  </si>
  <si>
    <t>Michael Santos</t>
  </si>
  <si>
    <t>Sarah Cruz</t>
  </si>
  <si>
    <t>David Reyes</t>
  </si>
  <si>
    <t>Prime Structures Inc.</t>
  </si>
  <si>
    <t>Days Remaining</t>
  </si>
  <si>
    <t>Project Health</t>
  </si>
  <si>
    <t>PRJ-004</t>
  </si>
  <si>
    <t>School Building Extension</t>
  </si>
  <si>
    <t>Structural drawings completed</t>
  </si>
  <si>
    <t>PRJ-005</t>
  </si>
  <si>
    <t>Bridge Inspection Report</t>
  </si>
  <si>
    <t>Awaiting client approval</t>
  </si>
  <si>
    <t>PRJ-006</t>
  </si>
  <si>
    <t>Retaining Wall Design</t>
  </si>
  <si>
    <t>Project cancelled by client</t>
  </si>
  <si>
    <t>PRJ-007</t>
  </si>
  <si>
    <t>Commercial Building Foundation</t>
  </si>
  <si>
    <t>Foundation calculations ongoing</t>
  </si>
  <si>
    <t>PRJ-008</t>
  </si>
  <si>
    <t>Water Tank Structural Assessment</t>
  </si>
  <si>
    <t>Initial project planning</t>
  </si>
  <si>
    <t>PRJ-009</t>
  </si>
  <si>
    <t>Steel Canopy Design</t>
  </si>
  <si>
    <t>Waiting for engineer review</t>
  </si>
  <si>
    <t>John Magpantay</t>
  </si>
  <si>
    <t>PRJ-010</t>
  </si>
  <si>
    <t>Hospital Seismic Retrofit</t>
  </si>
  <si>
    <t>Final structural retrofit completed</t>
  </si>
  <si>
    <t>PRJ-011</t>
  </si>
  <si>
    <t>Parking Garage Expansion</t>
  </si>
  <si>
    <t>Preparing structural framing plans</t>
  </si>
  <si>
    <t>PRJ-012</t>
  </si>
  <si>
    <t>Flood Control Pump Station</t>
  </si>
  <si>
    <t>Initial design coordination</t>
  </si>
  <si>
    <t>PRJ-013</t>
  </si>
  <si>
    <t>University Laboratory Building</t>
  </si>
  <si>
    <t>Awaiting senior engineer review</t>
  </si>
  <si>
    <t>PRJ-014</t>
  </si>
  <si>
    <t>Bridge Widening Project</t>
  </si>
  <si>
    <t>Client requested design revisions</t>
  </si>
  <si>
    <t>PRJ-015</t>
  </si>
  <si>
    <t>Industrial Warehouse Upgrade</t>
  </si>
  <si>
    <t>Project funding withdrawn</t>
  </si>
  <si>
    <t>Total Projects</t>
  </si>
  <si>
    <t>On Track</t>
  </si>
  <si>
    <t>Due Soon</t>
  </si>
  <si>
    <t>Overdue</t>
  </si>
  <si>
    <t>Purpose</t>
  </si>
  <si>
    <t>Hex</t>
  </si>
  <si>
    <t>Primary Blue</t>
  </si>
  <si>
    <t>#1F4E78</t>
  </si>
  <si>
    <t>Success Green</t>
  </si>
  <si>
    <t>#70AD47</t>
  </si>
  <si>
    <t>Warning Yellow</t>
  </si>
  <si>
    <t>#FFC000</t>
  </si>
  <si>
    <t>Danger Red</t>
  </si>
  <si>
    <t>#C00000</t>
  </si>
  <si>
    <t>Light Blue</t>
  </si>
  <si>
    <t>#D9EAF7</t>
  </si>
  <si>
    <t>Light Gray</t>
  </si>
  <si>
    <t>#F3F4F6</t>
  </si>
  <si>
    <t>Dark Gray</t>
  </si>
  <si>
    <t>#404040</t>
  </si>
  <si>
    <t>White</t>
  </si>
  <si>
    <t>#FFFFFF</t>
  </si>
  <si>
    <t>🎨 Colors</t>
  </si>
  <si>
    <t>Colors</t>
  </si>
  <si>
    <t>🔤 Fonts</t>
  </si>
  <si>
    <t>Font</t>
  </si>
  <si>
    <t>Calibri</t>
  </si>
  <si>
    <t>Title</t>
  </si>
  <si>
    <t>20 Bold</t>
  </si>
  <si>
    <t>Section Header</t>
  </si>
  <si>
    <t>13 Bold</t>
  </si>
  <si>
    <t>Body</t>
  </si>
  <si>
    <t>10 Regular</t>
  </si>
  <si>
    <t>KPI Number</t>
  </si>
  <si>
    <t>22 Bold</t>
  </si>
  <si>
    <t>🖼 Icons</t>
  </si>
  <si>
    <t>Projects</t>
  </si>
  <si>
    <t>Dashboard</t>
  </si>
  <si>
    <t>Reports</t>
  </si>
  <si>
    <t>Settings</t>
  </si>
  <si>
    <t>Deadlines</t>
  </si>
  <si>
    <t>Engineers</t>
  </si>
  <si>
    <t>📁</t>
  </si>
  <si>
    <t>📈</t>
  </si>
  <si>
    <t>⚙</t>
  </si>
  <si>
    <t>⏰</t>
  </si>
  <si>
    <t>👤</t>
  </si>
  <si>
    <t>📄</t>
  </si>
  <si>
    <t>📐 Spacing</t>
  </si>
  <si>
    <t>Margin</t>
  </si>
  <si>
    <t>Card Padding</t>
  </si>
  <si>
    <t>Gap</t>
  </si>
  <si>
    <t>12 px</t>
  </si>
  <si>
    <t>10 px</t>
  </si>
  <si>
    <t>20 px</t>
  </si>
  <si>
    <t>Count</t>
  </si>
  <si>
    <t>Project</t>
  </si>
  <si>
    <t>Days Left</t>
  </si>
  <si>
    <t>Upcoming Deadlines</t>
  </si>
  <si>
    <t>Projects Requiring Attention</t>
  </si>
  <si>
    <t>Reason</t>
  </si>
  <si>
    <t>Attention ID</t>
  </si>
  <si>
    <t>High Priority Projects</t>
  </si>
  <si>
    <t>Priority Score</t>
  </si>
  <si>
    <t>Priority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</si>
</sst>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1F4E78"/>
      <name val="Segoe UI"/>
      <family val="2"/>
    </font>
    <font>
      <sz val="11"/>
      <color theme="1"/>
      <name val="Segoe UI"/>
      <family val="2"/>
    </font>
    <font>
      <b/>
      <sz val="22"/>
      <color theme="0"/>
      <name val="Segoe UI"/>
      <family val="2"/>
    </font>
    <font>
      <b/>
      <sz val="10"/>
      <color theme="2" tint="-0.499984740745262"/>
      <name val="Segoe UI"/>
      <family val="2"/>
    </font>
    <font>
      <b/>
      <sz val="12"/>
      <color theme="1" tint="0.34998626667073579"/>
      <name val="Segoe UI"/>
      <family val="2"/>
    </font>
    <font>
      <b/>
      <sz val="13"/>
      <color theme="1" tint="0.249977111117893"/>
      <name val="Segoe UI"/>
      <family val="2"/>
    </font>
    <font>
      <b/>
      <sz val="11"/>
      <color theme="1" tint="0.249977111117893"/>
      <name val="Segoe UI"/>
      <family val="2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color indexed="63"/>
      <name val="Segoi UI"/>
    </font>
  </fonts>
  <fills count="12">
    <fill>
      <patternFill patternType="none"/>
    </fill>
    <fill>
      <patternFill patternType="gray125"/>
    </fill>
    <fill>
      <patternFill patternType="solid">
        <fgColor rgb="FFD9EA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rgb="FF7A7A7A"/>
      </left>
      <right style="thin">
        <color rgb="FF7A7A7A"/>
      </right>
      <top style="thin">
        <color rgb="FF7A7A7A"/>
      </top>
      <bottom style="thin">
        <color rgb="FF7A7A7A"/>
      </bottom>
      <diagonal/>
    </border>
    <border>
      <left style="thin">
        <color theme="1" tint="0.249977111117893"/>
      </left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7" borderId="0" xfId="0" applyFill="1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pivotButton="1"/>
    <xf numFmtId="0" fontId="3" fillId="7" borderId="0" xfId="0" applyFont="1" applyFill="1"/>
    <xf numFmtId="0" fontId="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vertical="center" wrapText="1"/>
    </xf>
    <xf numFmtId="0" fontId="0" fillId="10" borderId="0" xfId="0" applyFill="1"/>
    <xf numFmtId="0" fontId="4" fillId="3" borderId="0" xfId="0" applyFont="1" applyFill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Alignment="1">
      <alignment horizontal="left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0" xfId="0" applyFont="1" applyFill="1"/>
    <xf numFmtId="0" fontId="9" fillId="7" borderId="0" xfId="0" applyFont="1" applyFill="1"/>
    <xf numFmtId="0" fontId="2" fillId="7" borderId="0" xfId="0" applyFont="1" applyFill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164" fontId="5" fillId="7" borderId="3" xfId="0" applyNumberFormat="1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49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m/d/yyyy"/>
      <alignment horizontal="general" vertical="center" textRotation="0" wrapText="1" indent="0" justifyLastLine="0" shrinkToFit="0" readingOrder="0"/>
    </dxf>
    <dxf>
      <numFmt numFmtId="19" formatCode="m/d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theme="1" tint="0.499984740745262"/>
        </patternFill>
      </fill>
    </dxf>
    <dxf>
      <font>
        <color rgb="FFFFFFFF"/>
      </font>
      <fill>
        <patternFill>
          <bgColor rgb="FF70AD47"/>
        </patternFill>
      </fill>
    </dxf>
    <dxf>
      <font>
        <color rgb="FFC55A11"/>
      </font>
      <fill>
        <patternFill>
          <bgColor rgb="FFF4B183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7" tint="-0.499984740745262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65911"/>
      </font>
      <fill>
        <patternFill>
          <bgColor rgb="FFFCE4D6"/>
        </patternFill>
      </fill>
    </dxf>
    <dxf>
      <font>
        <color rgb="FF1F4E78"/>
      </font>
      <fill>
        <patternFill>
          <bgColor rgb="FFD9EAF7"/>
        </patternFill>
      </fill>
    </dxf>
    <dxf>
      <font>
        <color rgb="FF595959"/>
      </font>
      <fill>
        <patternFill>
          <bgColor rgb="FFE7E6E6"/>
        </patternFill>
      </fill>
    </dxf>
    <dxf>
      <font>
        <color rgb="FF9C0006"/>
      </font>
      <fill>
        <patternFill>
          <bgColor rgb="FFF4CCCC"/>
        </patternFill>
      </fill>
    </dxf>
    <dxf>
      <font>
        <color rgb="FF7F6000"/>
      </font>
      <fill>
        <patternFill>
          <bgColor rgb="FFFFF2CC"/>
        </patternFill>
      </fill>
    </dxf>
    <dxf>
      <font>
        <color rgb="FFC55A11"/>
      </font>
      <fill>
        <patternFill patternType="solid">
          <bgColor rgb="FFF3F4F6"/>
        </patternFill>
      </fill>
    </dxf>
    <dxf>
      <font>
        <color rgb="FF512373"/>
      </font>
      <fill>
        <patternFill patternType="solid">
          <bgColor rgb="FFF3F4F6"/>
        </patternFill>
      </fill>
    </dxf>
    <dxf>
      <font>
        <color rgb="FF7F6000"/>
      </font>
    </dxf>
    <dxf>
      <font>
        <color rgb="FF9C0006"/>
      </font>
    </dxf>
  </dxfs>
  <tableStyles count="0" defaultTableStyle="TableStyleMedium2" defaultPivotStyle="PivotStyleLight16"/>
  <colors>
    <mruColors>
      <color rgb="FFF3F4F6"/>
      <color rgb="FFC55A11"/>
      <color rgb="FF9C0006"/>
      <color rgb="FF512373"/>
      <color rgb="FF7F6000"/>
      <color rgb="FF595959"/>
      <color rgb="FFD9D9D9"/>
      <color rgb="FFF4B183"/>
      <color rgb="FFFFFFFF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Segoe UI" panose="020B0502040204020203" pitchFamily="34" charset="0"/>
                <a:cs typeface="Segoe UI" panose="020B0502040204020203" pitchFamily="34" charset="0"/>
              </a:rPr>
              <a:t>Projects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2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3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4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5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6"/>
        <c:spPr>
          <a:solidFill>
            <a:srgbClr val="C00000"/>
          </a:solidFill>
          <a:ln>
            <a:noFill/>
          </a:ln>
          <a:effectLst/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9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10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11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12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13"/>
        <c:spPr>
          <a:solidFill>
            <a:srgbClr val="C00000"/>
          </a:solidFill>
          <a:ln>
            <a:noFill/>
          </a:ln>
          <a:effectLst/>
          <a:sp3d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16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17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18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19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20"/>
        <c:spPr>
          <a:solidFill>
            <a:srgbClr val="C00000"/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PivotData!$C$1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D9EAF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24F-45DD-99FD-8D6BC904402D}"/>
              </c:ext>
            </c:extLst>
          </c:dPt>
          <c:dPt>
            <c:idx val="1"/>
            <c:invertIfNegative val="0"/>
            <c:bubble3D val="0"/>
            <c:spPr>
              <a:solidFill>
                <a:srgbClr val="9DC3E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24F-45DD-99FD-8D6BC904402D}"/>
              </c:ext>
            </c:extLst>
          </c:dPt>
          <c:dPt>
            <c:idx val="2"/>
            <c:invertIfNegative val="0"/>
            <c:bubble3D val="0"/>
            <c:spPr>
              <a:solidFill>
                <a:srgbClr val="F4B18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24F-45DD-99FD-8D6BC904402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24F-45DD-99FD-8D6BC904402D}"/>
              </c:ext>
            </c:extLst>
          </c:dPt>
          <c:dPt>
            <c:idx val="4"/>
            <c:invertIfNegative val="0"/>
            <c:bubble3D val="0"/>
            <c:spPr>
              <a:solidFill>
                <a:srgbClr val="FFD96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24F-45DD-99FD-8D6BC904402D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24F-45DD-99FD-8D6BC904402D}"/>
              </c:ext>
            </c:extLst>
          </c:dPt>
          <c:cat>
            <c:strRef>
              <c:f>PivotData!$B$2:$B$7</c:f>
              <c:strCache>
                <c:ptCount val="6"/>
                <c:pt idx="0">
                  <c:v>Planning</c:v>
                </c:pt>
                <c:pt idx="1">
                  <c:v>In Progress</c:v>
                </c:pt>
                <c:pt idx="2">
                  <c:v>For Review</c:v>
                </c:pt>
                <c:pt idx="3">
                  <c:v>Completed</c:v>
                </c:pt>
                <c:pt idx="4">
                  <c:v>On Hold</c:v>
                </c:pt>
                <c:pt idx="5">
                  <c:v>Cancelled</c:v>
                </c:pt>
              </c:strCache>
            </c:strRef>
          </c:cat>
          <c:val>
            <c:numRef>
              <c:f>PivotData!$C$2:$C$7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4F-45DD-99FD-8D6BC9044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96290960"/>
        <c:axId val="1496274640"/>
        <c:axId val="0"/>
      </c:bar3DChart>
      <c:catAx>
        <c:axId val="1496290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74640"/>
        <c:crosses val="autoZero"/>
        <c:auto val="1"/>
        <c:lblAlgn val="ctr"/>
        <c:lblOffset val="100"/>
        <c:noMultiLvlLbl val="0"/>
      </c:catAx>
      <c:valAx>
        <c:axId val="149627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909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Segoe UI" panose="020B0502040204020203" pitchFamily="34" charset="0"/>
                <a:cs typeface="Segoe UI" panose="020B0502040204020203" pitchFamily="34" charset="0"/>
              </a:rPr>
              <a:t>Project 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PivotData!$C$15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34-45C9-ABEF-E661028745A9}"/>
              </c:ext>
            </c:extLst>
          </c:dPt>
          <c:dPt>
            <c:idx val="1"/>
            <c:bubble3D val="0"/>
            <c:spPr>
              <a:solidFill>
                <a:srgbClr val="70AD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34-45C9-ABEF-E661028745A9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34-45C9-ABEF-E661028745A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PivotData!$B$16:$B$18</c:f>
              <c:strCache>
                <c:ptCount val="3"/>
                <c:pt idx="0">
                  <c:v>Due Soon</c:v>
                </c:pt>
                <c:pt idx="1">
                  <c:v>On Track</c:v>
                </c:pt>
                <c:pt idx="2">
                  <c:v>Overdue</c:v>
                </c:pt>
              </c:strCache>
            </c:strRef>
          </c:cat>
          <c:val>
            <c:numRef>
              <c:f>PivotData!$C$16:$C$18</c:f>
              <c:numCache>
                <c:formatCode>General</c:formatCode>
                <c:ptCount val="3"/>
                <c:pt idx="0">
                  <c:v>3</c:v>
                </c:pt>
                <c:pt idx="1">
                  <c:v>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34-45C9-ABEF-E66102874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Segoe UI" panose="020B0502040204020203" pitchFamily="34" charset="0"/>
                <a:cs typeface="Segoe UI" panose="020B0502040204020203" pitchFamily="34" charset="0"/>
              </a:rPr>
              <a:t>Projects by Engineer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F4E78"/>
            </a:solidFill>
            <a:ln>
              <a:noFill/>
            </a:ln>
            <a:effectLst/>
          </c:spPr>
          <c:invertIfNegative val="0"/>
          <c:cat>
            <c:strRef>
              <c:f>PivotData!$F$2:$F$5</c:f>
              <c:strCache>
                <c:ptCount val="4"/>
                <c:pt idx="0">
                  <c:v>David Reyes</c:v>
                </c:pt>
                <c:pt idx="1">
                  <c:v>John Magpantay</c:v>
                </c:pt>
                <c:pt idx="2">
                  <c:v>Michael Santos</c:v>
                </c:pt>
                <c:pt idx="3">
                  <c:v>Sarah Cruz</c:v>
                </c:pt>
              </c:strCache>
            </c:strRef>
          </c:cat>
          <c:val>
            <c:numRef>
              <c:f>PivotData!$G$2:$G$5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A9-4D32-91DD-12B11C420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9193952"/>
        <c:axId val="1659188192"/>
      </c:barChart>
      <c:catAx>
        <c:axId val="1659193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88192"/>
        <c:crosses val="autoZero"/>
        <c:auto val="1"/>
        <c:lblAlgn val="ctr"/>
        <c:lblOffset val="100"/>
        <c:noMultiLvlLbl val="0"/>
      </c:catAx>
      <c:valAx>
        <c:axId val="16591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9395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baseline="0">
                <a:latin typeface="Segoe UI" panose="020B0502040204020203" pitchFamily="34" charset="0"/>
                <a:cs typeface="Segoe UI" panose="020B0502040204020203" pitchFamily="34" charset="0"/>
              </a:rPr>
              <a:t>Projects by Client</a:t>
            </a:r>
            <a:endParaRPr lang="en-US" sz="1200" b="1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DC3E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PivotData!$K$1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DC3E6"/>
            </a:solidFill>
            <a:ln>
              <a:noFill/>
            </a:ln>
            <a:effectLst/>
          </c:spPr>
          <c:invertIfNegative val="0"/>
          <c:cat>
            <c:strRef>
              <c:f>PivotData!$J$2:$J$5</c:f>
              <c:strCache>
                <c:ptCount val="4"/>
                <c:pt idx="0">
                  <c:v>ABC Construction</c:v>
                </c:pt>
                <c:pt idx="1">
                  <c:v>Prime Structures Inc.</c:v>
                </c:pt>
                <c:pt idx="2">
                  <c:v>Vertex Engineering</c:v>
                </c:pt>
                <c:pt idx="3">
                  <c:v>XYZ Builders</c:v>
                </c:pt>
              </c:strCache>
            </c:strRef>
          </c:cat>
          <c:val>
            <c:numRef>
              <c:f>PivotData!$K$2:$K$5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9-4031-B3A7-7CE77921E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0235168"/>
        <c:axId val="1860236608"/>
      </c:barChart>
      <c:catAx>
        <c:axId val="1860235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6608"/>
        <c:crosses val="autoZero"/>
        <c:auto val="1"/>
        <c:lblAlgn val="ctr"/>
        <c:lblOffset val="100"/>
        <c:noMultiLvlLbl val="0"/>
      </c:catAx>
      <c:valAx>
        <c:axId val="186023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516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2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3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4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5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6"/>
        <c:spPr>
          <a:solidFill>
            <a:srgbClr val="C00000"/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PivotData!$C$1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D9EAF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179-4A53-B5FC-40E96A15F90E}"/>
              </c:ext>
            </c:extLst>
          </c:dPt>
          <c:dPt>
            <c:idx val="1"/>
            <c:invertIfNegative val="0"/>
            <c:bubble3D val="0"/>
            <c:spPr>
              <a:solidFill>
                <a:srgbClr val="9DC3E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179-4A53-B5FC-40E96A15F90E}"/>
              </c:ext>
            </c:extLst>
          </c:dPt>
          <c:dPt>
            <c:idx val="2"/>
            <c:invertIfNegative val="0"/>
            <c:bubble3D val="0"/>
            <c:spPr>
              <a:solidFill>
                <a:srgbClr val="F4B18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179-4A53-B5FC-40E96A15F90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179-4A53-B5FC-40E96A15F90E}"/>
              </c:ext>
            </c:extLst>
          </c:dPt>
          <c:dPt>
            <c:idx val="4"/>
            <c:invertIfNegative val="0"/>
            <c:bubble3D val="0"/>
            <c:spPr>
              <a:solidFill>
                <a:srgbClr val="FFD96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179-4A53-B5FC-40E96A15F90E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179-4A53-B5FC-40E96A15F90E}"/>
              </c:ext>
            </c:extLst>
          </c:dPt>
          <c:cat>
            <c:strRef>
              <c:f>PivotData!$B$2:$B$7</c:f>
              <c:strCache>
                <c:ptCount val="6"/>
                <c:pt idx="0">
                  <c:v>Planning</c:v>
                </c:pt>
                <c:pt idx="1">
                  <c:v>In Progress</c:v>
                </c:pt>
                <c:pt idx="2">
                  <c:v>For Review</c:v>
                </c:pt>
                <c:pt idx="3">
                  <c:v>Completed</c:v>
                </c:pt>
                <c:pt idx="4">
                  <c:v>On Hold</c:v>
                </c:pt>
                <c:pt idx="5">
                  <c:v>Cancelled</c:v>
                </c:pt>
              </c:strCache>
            </c:strRef>
          </c:cat>
          <c:val>
            <c:numRef>
              <c:f>PivotData!$C$2:$C$7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9-4A53-B5FC-40E96A15F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96290960"/>
        <c:axId val="1496274640"/>
        <c:axId val="0"/>
      </c:bar3DChart>
      <c:catAx>
        <c:axId val="1496290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74640"/>
        <c:crosses val="autoZero"/>
        <c:auto val="1"/>
        <c:lblAlgn val="ctr"/>
        <c:lblOffset val="100"/>
        <c:noMultiLvlLbl val="0"/>
      </c:catAx>
      <c:valAx>
        <c:axId val="149627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909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PivotData!$C$15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23-4E48-8CD5-6F53B6C73F3E}"/>
              </c:ext>
            </c:extLst>
          </c:dPt>
          <c:dPt>
            <c:idx val="1"/>
            <c:bubble3D val="0"/>
            <c:spPr>
              <a:solidFill>
                <a:srgbClr val="70AD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723-4E48-8CD5-6F53B6C73F3E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723-4E48-8CD5-6F53B6C73F3E}"/>
              </c:ext>
            </c:extLst>
          </c:dPt>
          <c:cat>
            <c:strRef>
              <c:f>PivotData!$B$16:$B$18</c:f>
              <c:strCache>
                <c:ptCount val="3"/>
                <c:pt idx="0">
                  <c:v>Due Soon</c:v>
                </c:pt>
                <c:pt idx="1">
                  <c:v>On Track</c:v>
                </c:pt>
                <c:pt idx="2">
                  <c:v>Overdue</c:v>
                </c:pt>
              </c:strCache>
            </c:strRef>
          </c:cat>
          <c:val>
            <c:numRef>
              <c:f>PivotData!$C$16:$C$18</c:f>
              <c:numCache>
                <c:formatCode>General</c:formatCode>
                <c:ptCount val="3"/>
                <c:pt idx="0">
                  <c:v>3</c:v>
                </c:pt>
                <c:pt idx="1">
                  <c:v>9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3-4E48-8CD5-6F53B6C73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Engineer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F4E78"/>
            </a:solidFill>
            <a:ln>
              <a:noFill/>
            </a:ln>
            <a:effectLst/>
          </c:spPr>
          <c:invertIfNegative val="0"/>
          <c:cat>
            <c:strRef>
              <c:f>PivotData!$F$2:$F$5</c:f>
              <c:strCache>
                <c:ptCount val="4"/>
                <c:pt idx="0">
                  <c:v>David Reyes</c:v>
                </c:pt>
                <c:pt idx="1">
                  <c:v>John Magpantay</c:v>
                </c:pt>
                <c:pt idx="2">
                  <c:v>Michael Santos</c:v>
                </c:pt>
                <c:pt idx="3">
                  <c:v>Sarah Cruz</c:v>
                </c:pt>
              </c:strCache>
            </c:strRef>
          </c:cat>
          <c:val>
            <c:numRef>
              <c:f>PivotData!$G$2:$G$5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1-4008-9BFE-548734A6B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9193952"/>
        <c:axId val="1659188192"/>
      </c:barChart>
      <c:catAx>
        <c:axId val="1659193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88192"/>
        <c:crosses val="autoZero"/>
        <c:auto val="1"/>
        <c:lblAlgn val="ctr"/>
        <c:lblOffset val="100"/>
        <c:noMultiLvlLbl val="0"/>
      </c:catAx>
      <c:valAx>
        <c:axId val="16591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9395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Projects by Client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PivotData!$K$1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F4E78"/>
            </a:solidFill>
            <a:ln>
              <a:noFill/>
            </a:ln>
            <a:effectLst/>
          </c:spPr>
          <c:invertIfNegative val="0"/>
          <c:cat>
            <c:strRef>
              <c:f>PivotData!$J$2:$J$5</c:f>
              <c:strCache>
                <c:ptCount val="4"/>
                <c:pt idx="0">
                  <c:v>ABC Construction</c:v>
                </c:pt>
                <c:pt idx="1">
                  <c:v>Prime Structures Inc.</c:v>
                </c:pt>
                <c:pt idx="2">
                  <c:v>Vertex Engineering</c:v>
                </c:pt>
                <c:pt idx="3">
                  <c:v>XYZ Builders</c:v>
                </c:pt>
              </c:strCache>
            </c:strRef>
          </c:cat>
          <c:val>
            <c:numRef>
              <c:f>PivotData!$K$2:$K$5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D-44BF-AE3B-90D9F76A5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0235168"/>
        <c:axId val="1860236608"/>
      </c:barChart>
      <c:catAx>
        <c:axId val="1860235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6608"/>
        <c:crosses val="autoZero"/>
        <c:auto val="1"/>
        <c:lblAlgn val="ctr"/>
        <c:lblOffset val="100"/>
        <c:noMultiLvlLbl val="0"/>
      </c:catAx>
      <c:valAx>
        <c:axId val="186023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516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chart" Target="../charts/chart2.xml"/><Relationship Id="rId42" Type="http://schemas.openxmlformats.org/officeDocument/2006/relationships/image" Target="../media/image38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3.png"/><Relationship Id="rId40" Type="http://schemas.openxmlformats.org/officeDocument/2006/relationships/image" Target="../media/image36.svg"/><Relationship Id="rId45" Type="http://schemas.openxmlformats.org/officeDocument/2006/relationships/image" Target="../media/image4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chart" Target="../charts/chart4.xml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chart" Target="../charts/chart3.xml"/><Relationship Id="rId43" Type="http://schemas.openxmlformats.org/officeDocument/2006/relationships/image" Target="../media/image39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chart" Target="../charts/chart1.xml"/><Relationship Id="rId38" Type="http://schemas.openxmlformats.org/officeDocument/2006/relationships/image" Target="../media/image34.svg"/><Relationship Id="rId46" Type="http://schemas.openxmlformats.org/officeDocument/2006/relationships/image" Target="../media/image42.svg"/><Relationship Id="rId20" Type="http://schemas.openxmlformats.org/officeDocument/2006/relationships/image" Target="../media/image20.svg"/><Relationship Id="rId41" Type="http://schemas.openxmlformats.org/officeDocument/2006/relationships/image" Target="../media/image3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9524</xdr:rowOff>
    </xdr:from>
    <xdr:to>
      <xdr:col>2</xdr:col>
      <xdr:colOff>409575</xdr:colOff>
      <xdr:row>48</xdr:row>
      <xdr:rowOff>247649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C1C0397-D0E9-3A18-F976-A3DF7A880F77}"/>
            </a:ext>
          </a:extLst>
        </xdr:cNvPr>
        <xdr:cNvSpPr/>
      </xdr:nvSpPr>
      <xdr:spPr>
        <a:xfrm>
          <a:off x="9525" y="514349"/>
          <a:ext cx="1828800" cy="1814512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190500</xdr:colOff>
      <xdr:row>0</xdr:row>
      <xdr:rowOff>95250</xdr:rowOff>
    </xdr:from>
    <xdr:to>
      <xdr:col>0</xdr:col>
      <xdr:colOff>542925</xdr:colOff>
      <xdr:row>0</xdr:row>
      <xdr:rowOff>447675</xdr:rowOff>
    </xdr:to>
    <xdr:pic>
      <xdr:nvPicPr>
        <xdr:cNvPr id="3" name="Graphic 2" descr="Bar chart with solid fill">
          <a:extLst>
            <a:ext uri="{FF2B5EF4-FFF2-40B4-BE49-F238E27FC236}">
              <a16:creationId xmlns:a16="http://schemas.microsoft.com/office/drawing/2014/main" id="{85211BD3-CDA0-4D23-B778-387F37D0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95250"/>
          <a:ext cx="352425" cy="352425"/>
        </a:xfrm>
        <a:prstGeom prst="rect">
          <a:avLst/>
        </a:prstGeom>
      </xdr:spPr>
    </xdr:pic>
    <xdr:clientData/>
  </xdr:twoCellAnchor>
  <xdr:twoCellAnchor>
    <xdr:from>
      <xdr:col>1</xdr:col>
      <xdr:colOff>76201</xdr:colOff>
      <xdr:row>0</xdr:row>
      <xdr:rowOff>57150</xdr:rowOff>
    </xdr:from>
    <xdr:to>
      <xdr:col>13</xdr:col>
      <xdr:colOff>66675</xdr:colOff>
      <xdr:row>1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EEBBD7-C072-3CA8-6DD8-8FC8692783C2}"/>
            </a:ext>
          </a:extLst>
        </xdr:cNvPr>
        <xdr:cNvSpPr txBox="1"/>
      </xdr:nvSpPr>
      <xdr:spPr>
        <a:xfrm>
          <a:off x="790576" y="57150"/>
          <a:ext cx="8562974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Engineering Support Automation Toolkit </a:t>
          </a:r>
          <a:r>
            <a:rPr lang="en-US" sz="20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Management Dashboard</a:t>
          </a:r>
        </a:p>
      </xdr:txBody>
    </xdr:sp>
    <xdr:clientData/>
  </xdr:twoCellAnchor>
  <xdr:twoCellAnchor>
    <xdr:from>
      <xdr:col>18</xdr:col>
      <xdr:colOff>695325</xdr:colOff>
      <xdr:row>0</xdr:row>
      <xdr:rowOff>85725</xdr:rowOff>
    </xdr:from>
    <xdr:to>
      <xdr:col>24</xdr:col>
      <xdr:colOff>619125</xdr:colOff>
      <xdr:row>1</xdr:row>
      <xdr:rowOff>28575</xdr:rowOff>
    </xdr:to>
    <xdr:grpSp>
      <xdr:nvGrpSpPr>
        <xdr:cNvPr id="172" name="Group 171">
          <a:extLst>
            <a:ext uri="{FF2B5EF4-FFF2-40B4-BE49-F238E27FC236}">
              <a16:creationId xmlns:a16="http://schemas.microsoft.com/office/drawing/2014/main" id="{A4146E40-2239-F6E6-6CC8-5C0320591B1C}"/>
            </a:ext>
          </a:extLst>
        </xdr:cNvPr>
        <xdr:cNvGrpSpPr/>
      </xdr:nvGrpSpPr>
      <xdr:grpSpPr>
        <a:xfrm>
          <a:off x="13554075" y="85725"/>
          <a:ext cx="4210050" cy="447675"/>
          <a:chOff x="14639925" y="85725"/>
          <a:chExt cx="4210050" cy="447675"/>
        </a:xfrm>
      </xdr:grpSpPr>
      <xdr:sp macro="" textlink="">
        <xdr:nvSpPr>
          <xdr:cNvPr id="5" name="txtLastUpdate">
            <a:extLst>
              <a:ext uri="{FF2B5EF4-FFF2-40B4-BE49-F238E27FC236}">
                <a16:creationId xmlns:a16="http://schemas.microsoft.com/office/drawing/2014/main" id="{7B32ADDD-4BBB-45B4-A818-6110B0EB7C4D}"/>
              </a:ext>
            </a:extLst>
          </xdr:cNvPr>
          <xdr:cNvSpPr txBox="1"/>
        </xdr:nvSpPr>
        <xdr:spPr>
          <a:xfrm>
            <a:off x="14878051" y="85725"/>
            <a:ext cx="3971924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3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Last Update: July 22, 2026 (Wednesday) 09:50 AM</a:t>
            </a:r>
            <a:endParaRPr lang="en-US" sz="13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7" name="Graphic 6">
            <a:extLst>
              <a:ext uri="{FF2B5EF4-FFF2-40B4-BE49-F238E27FC236}">
                <a16:creationId xmlns:a16="http://schemas.microsoft.com/office/drawing/2014/main" id="{F929867C-03F3-FD5A-6198-B4C2877070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39925" y="142875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123825</xdr:colOff>
      <xdr:row>1</xdr:row>
      <xdr:rowOff>304799</xdr:rowOff>
    </xdr:from>
    <xdr:to>
      <xdr:col>3</xdr:col>
      <xdr:colOff>57150</xdr:colOff>
      <xdr:row>2</xdr:row>
      <xdr:rowOff>380999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2107B680-940D-6774-188F-6715D24E2A2C}"/>
            </a:ext>
          </a:extLst>
        </xdr:cNvPr>
        <xdr:cNvGrpSpPr/>
      </xdr:nvGrpSpPr>
      <xdr:grpSpPr>
        <a:xfrm>
          <a:off x="123825" y="809624"/>
          <a:ext cx="2076450" cy="457200"/>
          <a:chOff x="123825" y="809624"/>
          <a:chExt cx="2076450" cy="45720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6E0F3E56-2A11-8319-75FE-D872C7F52091}"/>
              </a:ext>
            </a:extLst>
          </xdr:cNvPr>
          <xdr:cNvSpPr txBox="1"/>
        </xdr:nvSpPr>
        <xdr:spPr>
          <a:xfrm>
            <a:off x="371475" y="809624"/>
            <a:ext cx="182880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300" b="1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  <xdr:pic>
        <xdr:nvPicPr>
          <xdr:cNvPr id="14" name="Graphic 13">
            <a:extLst>
              <a:ext uri="{FF2B5EF4-FFF2-40B4-BE49-F238E27FC236}">
                <a16:creationId xmlns:a16="http://schemas.microsoft.com/office/drawing/2014/main" id="{3A7F823A-DA8A-6517-CEE1-7A3F11BE09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3825" y="9334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371475</xdr:colOff>
      <xdr:row>2</xdr:row>
      <xdr:rowOff>19050</xdr:rowOff>
    </xdr:from>
    <xdr:to>
      <xdr:col>2</xdr:col>
      <xdr:colOff>417195</xdr:colOff>
      <xdr:row>2</xdr:row>
      <xdr:rowOff>293370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33AF766-5EB3-3791-904E-C0426B18F66E}"/>
            </a:ext>
          </a:extLst>
        </xdr:cNvPr>
        <xdr:cNvSpPr/>
      </xdr:nvSpPr>
      <xdr:spPr>
        <a:xfrm>
          <a:off x="1800225" y="904875"/>
          <a:ext cx="45720" cy="274320"/>
        </a:xfrm>
        <a:prstGeom prst="rect">
          <a:avLst/>
        </a:prstGeom>
        <a:solidFill>
          <a:srgbClr val="9DC3E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360368</xdr:colOff>
      <xdr:row>3</xdr:row>
      <xdr:rowOff>18505</xdr:rowOff>
    </xdr:from>
    <xdr:to>
      <xdr:col>3</xdr:col>
      <xdr:colOff>46043</xdr:colOff>
      <xdr:row>4</xdr:row>
      <xdr:rowOff>94705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DE8C143-CED1-494E-A6A5-ECD366A6394D}"/>
            </a:ext>
          </a:extLst>
        </xdr:cNvPr>
        <xdr:cNvSpPr txBox="1"/>
      </xdr:nvSpPr>
      <xdr:spPr>
        <a:xfrm>
          <a:off x="360368" y="1285330"/>
          <a:ext cx="18288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>
              <a:solidFill>
                <a:schemeClr val="dk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Projects</a:t>
          </a:r>
        </a:p>
      </xdr:txBody>
    </xdr:sp>
    <xdr:clientData/>
  </xdr:twoCellAnchor>
  <xdr:twoCellAnchor>
    <xdr:from>
      <xdr:col>0</xdr:col>
      <xdr:colOff>371475</xdr:colOff>
      <xdr:row>4</xdr:row>
      <xdr:rowOff>113211</xdr:rowOff>
    </xdr:from>
    <xdr:to>
      <xdr:col>3</xdr:col>
      <xdr:colOff>57150</xdr:colOff>
      <xdr:row>5</xdr:row>
      <xdr:rowOff>189411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75CDF3FB-44F6-4593-9C95-2E50EB5CE4D6}"/>
            </a:ext>
          </a:extLst>
        </xdr:cNvPr>
        <xdr:cNvSpPr txBox="1"/>
      </xdr:nvSpPr>
      <xdr:spPr>
        <a:xfrm>
          <a:off x="371475" y="1761036"/>
          <a:ext cx="18288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>
              <a:solidFill>
                <a:schemeClr val="dk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Submittals</a:t>
          </a:r>
        </a:p>
      </xdr:txBody>
    </xdr:sp>
    <xdr:clientData/>
  </xdr:twoCellAnchor>
  <xdr:twoCellAnchor>
    <xdr:from>
      <xdr:col>0</xdr:col>
      <xdr:colOff>360368</xdr:colOff>
      <xdr:row>5</xdr:row>
      <xdr:rowOff>207916</xdr:rowOff>
    </xdr:from>
    <xdr:to>
      <xdr:col>3</xdr:col>
      <xdr:colOff>46043</xdr:colOff>
      <xdr:row>6</xdr:row>
      <xdr:rowOff>284116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5AEB4F31-8EBE-40ED-A36E-13A7FF2484A1}"/>
            </a:ext>
          </a:extLst>
        </xdr:cNvPr>
        <xdr:cNvSpPr txBox="1"/>
      </xdr:nvSpPr>
      <xdr:spPr>
        <a:xfrm>
          <a:off x="360368" y="2236741"/>
          <a:ext cx="18288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>
              <a:solidFill>
                <a:schemeClr val="dk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Calculations</a:t>
          </a:r>
        </a:p>
      </xdr:txBody>
    </xdr:sp>
    <xdr:clientData/>
  </xdr:twoCellAnchor>
  <xdr:twoCellAnchor>
    <xdr:from>
      <xdr:col>2</xdr:col>
      <xdr:colOff>571499</xdr:colOff>
      <xdr:row>1</xdr:row>
      <xdr:rowOff>161925</xdr:rowOff>
    </xdr:from>
    <xdr:to>
      <xdr:col>4</xdr:col>
      <xdr:colOff>655318</xdr:colOff>
      <xdr:row>5</xdr:row>
      <xdr:rowOff>9525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FFAEBC09-CC4A-C12C-B546-8403A5C5ECCF}"/>
            </a:ext>
          </a:extLst>
        </xdr:cNvPr>
        <xdr:cNvGrpSpPr/>
      </xdr:nvGrpSpPr>
      <xdr:grpSpPr>
        <a:xfrm>
          <a:off x="2000249" y="666750"/>
          <a:ext cx="1512569" cy="1371600"/>
          <a:chOff x="2114549" y="714375"/>
          <a:chExt cx="1512569" cy="137160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1FF97558-803A-AE79-467C-5BAA753F3C67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BD36CAFF-662E-3BB3-523E-65129BD69507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Total Projects</a:t>
            </a:r>
          </a:p>
        </xdr:txBody>
      </xdr:sp>
      <xdr:sp macro="" textlink="PivotData!N2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8AE5A77A-9260-2186-7034-4E78A602C87B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FB91C5-2576-4631-93E2-1F510C2C4F61}" type="TxLink">
              <a:rPr lang="en-US" sz="2200" b="1" i="0" u="none" strike="noStrike">
                <a:solidFill>
                  <a:srgbClr val="1F4E78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15</a:t>
            </a:fld>
            <a:endParaRPr lang="en-US" sz="2200">
              <a:solidFill>
                <a:srgbClr val="1F4E78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30" name="Graphic 29">
            <a:extLst>
              <a:ext uri="{FF2B5EF4-FFF2-40B4-BE49-F238E27FC236}">
                <a16:creationId xmlns:a16="http://schemas.microsoft.com/office/drawing/2014/main" id="{27EF2AAD-3071-D794-AAC6-41FB129429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486025" y="1162050"/>
            <a:ext cx="228600" cy="228600"/>
          </a:xfrm>
          <a:prstGeom prst="rect">
            <a:avLst/>
          </a:prstGeom>
        </xdr:spPr>
      </xdr:pic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BFAEA526-16A2-6FE2-58DA-5F64C2F2AB87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618066</xdr:colOff>
      <xdr:row>1</xdr:row>
      <xdr:rowOff>161925</xdr:rowOff>
    </xdr:from>
    <xdr:to>
      <xdr:col>6</xdr:col>
      <xdr:colOff>701885</xdr:colOff>
      <xdr:row>5</xdr:row>
      <xdr:rowOff>9525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1CD496B9-8D30-47BF-AC22-035B98269762}"/>
            </a:ext>
          </a:extLst>
        </xdr:cNvPr>
        <xdr:cNvGrpSpPr/>
      </xdr:nvGrpSpPr>
      <xdr:grpSpPr>
        <a:xfrm>
          <a:off x="3475566" y="666750"/>
          <a:ext cx="1512569" cy="1371600"/>
          <a:chOff x="2114549" y="714375"/>
          <a:chExt cx="1512569" cy="1371600"/>
        </a:xfrm>
      </xdr:grpSpPr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26CB5132-FF04-1D5D-07EA-D3C7969CBBFA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9DFCFC70-EAF5-7124-D683-CAC418EE6286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On Track</a:t>
            </a:r>
          </a:p>
        </xdr:txBody>
      </xdr:sp>
      <xdr:sp macro="" textlink="PivotData!C17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2203DBEA-3EE1-7540-9329-5F5E91900062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8D6CD90-F2DA-4786-84B1-6E225FF54D26}" type="TxLink">
              <a:rPr lang="en-US" sz="2200" b="1" i="0" u="none" strike="noStrike">
                <a:solidFill>
                  <a:srgbClr val="70AD47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9</a:t>
            </a:fld>
            <a:endParaRPr lang="en-US" sz="2200" b="1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E8360844-3316-BF97-70D6-0404641C69B7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664633</xdr:colOff>
      <xdr:row>1</xdr:row>
      <xdr:rowOff>161925</xdr:rowOff>
    </xdr:from>
    <xdr:to>
      <xdr:col>9</xdr:col>
      <xdr:colOff>34077</xdr:colOff>
      <xdr:row>5</xdr:row>
      <xdr:rowOff>9525</xdr:rowOff>
    </xdr:to>
    <xdr:grpSp>
      <xdr:nvGrpSpPr>
        <xdr:cNvPr id="88" name="Group 87">
          <a:extLst>
            <a:ext uri="{FF2B5EF4-FFF2-40B4-BE49-F238E27FC236}">
              <a16:creationId xmlns:a16="http://schemas.microsoft.com/office/drawing/2014/main" id="{6682C311-E85F-4FE9-907E-E77DFD92DEB3}"/>
            </a:ext>
          </a:extLst>
        </xdr:cNvPr>
        <xdr:cNvGrpSpPr/>
      </xdr:nvGrpSpPr>
      <xdr:grpSpPr>
        <a:xfrm>
          <a:off x="4950883" y="666750"/>
          <a:ext cx="1512569" cy="1371600"/>
          <a:chOff x="2114549" y="714375"/>
          <a:chExt cx="1512569" cy="1371600"/>
        </a:xfrm>
      </xdr:grpSpPr>
      <xdr:sp macro="" textlink="">
        <xdr:nvSpPr>
          <xdr:cNvPr id="89" name="Rectangle 88">
            <a:extLst>
              <a:ext uri="{FF2B5EF4-FFF2-40B4-BE49-F238E27FC236}">
                <a16:creationId xmlns:a16="http://schemas.microsoft.com/office/drawing/2014/main" id="{30D87EBF-F465-4531-BBD2-4D612D8D7BA3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9D3D8F12-BFB1-E1A8-4ED1-07BF0CD641B7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Due Soon</a:t>
            </a:r>
          </a:p>
        </xdr:txBody>
      </xdr:sp>
      <xdr:sp macro="" textlink="PivotData!C16">
        <xdr:nvSpPr>
          <xdr:cNvPr id="91" name="Rectangle: Rounded Corners 90">
            <a:extLst>
              <a:ext uri="{FF2B5EF4-FFF2-40B4-BE49-F238E27FC236}">
                <a16:creationId xmlns:a16="http://schemas.microsoft.com/office/drawing/2014/main" id="{11BB532E-1290-6515-3A94-62FEE505012C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BFF853-7A1B-4E8B-BB95-9B888309736F}" type="TxLink">
              <a:rPr lang="en-US" sz="2200" b="1" i="0" u="none" strike="noStrike">
                <a:solidFill>
                  <a:srgbClr val="FFC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3</a:t>
            </a:fld>
            <a:endParaRPr lang="en-US" sz="2200" b="1">
              <a:solidFill>
                <a:srgbClr val="FFC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8926B7BB-AAAE-28F6-1FC9-1DC9F72026D1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711200</xdr:colOff>
      <xdr:row>1</xdr:row>
      <xdr:rowOff>161925</xdr:rowOff>
    </xdr:from>
    <xdr:to>
      <xdr:col>11</xdr:col>
      <xdr:colOff>80644</xdr:colOff>
      <xdr:row>5</xdr:row>
      <xdr:rowOff>9525</xdr:rowOff>
    </xdr:to>
    <xdr:grpSp>
      <xdr:nvGrpSpPr>
        <xdr:cNvPr id="94" name="Group 93">
          <a:extLst>
            <a:ext uri="{FF2B5EF4-FFF2-40B4-BE49-F238E27FC236}">
              <a16:creationId xmlns:a16="http://schemas.microsoft.com/office/drawing/2014/main" id="{02C21670-AA59-420B-ABCE-D91A7E8ACC48}"/>
            </a:ext>
          </a:extLst>
        </xdr:cNvPr>
        <xdr:cNvGrpSpPr/>
      </xdr:nvGrpSpPr>
      <xdr:grpSpPr>
        <a:xfrm>
          <a:off x="6426200" y="666750"/>
          <a:ext cx="1512569" cy="1371600"/>
          <a:chOff x="2114549" y="714375"/>
          <a:chExt cx="1512569" cy="1371600"/>
        </a:xfrm>
      </xdr:grpSpPr>
      <xdr:sp macro="" textlink="">
        <xdr:nvSpPr>
          <xdr:cNvPr id="95" name="Rectangle 94">
            <a:extLst>
              <a:ext uri="{FF2B5EF4-FFF2-40B4-BE49-F238E27FC236}">
                <a16:creationId xmlns:a16="http://schemas.microsoft.com/office/drawing/2014/main" id="{A0474EC6-97CF-05C4-9E36-84A7A0AB9BD6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E4EC6010-D301-6E56-7725-CE55D54E2FD0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Overdue</a:t>
            </a:r>
          </a:p>
        </xdr:txBody>
      </xdr:sp>
      <xdr:sp macro="" textlink="PivotData!C18">
        <xdr:nvSpPr>
          <xdr:cNvPr id="97" name="Rectangle: Rounded Corners 96">
            <a:extLst>
              <a:ext uri="{FF2B5EF4-FFF2-40B4-BE49-F238E27FC236}">
                <a16:creationId xmlns:a16="http://schemas.microsoft.com/office/drawing/2014/main" id="{6321DA7E-D773-4335-20E0-BBCF63AF95E0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D39715-98E5-45B7-BF2A-0F085E130851}" type="TxLink">
              <a:rPr lang="en-US" sz="2200" b="1" i="0" u="none" strike="noStrike">
                <a:solidFill>
                  <a:srgbClr val="C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3</a:t>
            </a:fld>
            <a:endParaRPr lang="en-US" sz="220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466D455C-8810-2ADB-8EA6-B0D288B2653F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43392</xdr:colOff>
      <xdr:row>1</xdr:row>
      <xdr:rowOff>161925</xdr:rowOff>
    </xdr:from>
    <xdr:to>
      <xdr:col>13</xdr:col>
      <xdr:colOff>127211</xdr:colOff>
      <xdr:row>5</xdr:row>
      <xdr:rowOff>9525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D84B4801-202E-4EFD-808F-301D997AB594}"/>
            </a:ext>
          </a:extLst>
        </xdr:cNvPr>
        <xdr:cNvGrpSpPr/>
      </xdr:nvGrpSpPr>
      <xdr:grpSpPr>
        <a:xfrm>
          <a:off x="7901517" y="666750"/>
          <a:ext cx="1512569" cy="1371600"/>
          <a:chOff x="2114549" y="714375"/>
          <a:chExt cx="1512569" cy="1371600"/>
        </a:xfrm>
      </xdr:grpSpPr>
      <xdr:sp macro="" textlink="">
        <xdr:nvSpPr>
          <xdr:cNvPr id="101" name="Rectangle 100">
            <a:extLst>
              <a:ext uri="{FF2B5EF4-FFF2-40B4-BE49-F238E27FC236}">
                <a16:creationId xmlns:a16="http://schemas.microsoft.com/office/drawing/2014/main" id="{56AB5B95-F32B-6F4C-B481-80740504035E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3A1ECDD2-8FE3-EB64-A9D8-E95148D30149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Planning</a:t>
            </a:r>
          </a:p>
        </xdr:txBody>
      </xdr:sp>
      <xdr:sp macro="" textlink="PivotData!C2">
        <xdr:nvSpPr>
          <xdr:cNvPr id="103" name="Rectangle: Rounded Corners 102">
            <a:extLst>
              <a:ext uri="{FF2B5EF4-FFF2-40B4-BE49-F238E27FC236}">
                <a16:creationId xmlns:a16="http://schemas.microsoft.com/office/drawing/2014/main" id="{A2B2EDE1-CE58-473D-074B-B56267147FA0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3021EA-A1AF-4F09-BB7D-79C96D03CB1B}" type="TxLink">
              <a:rPr lang="en-US" sz="2200" b="1" i="0" u="none" strike="noStrike">
                <a:solidFill>
                  <a:srgbClr val="5B9BD5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2</a:t>
            </a:fld>
            <a:endParaRPr lang="en-US" sz="2200" b="1">
              <a:solidFill>
                <a:srgbClr val="5B9BD5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BBB65DC4-C008-91CD-AB99-771E4F2AC976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89959</xdr:colOff>
      <xdr:row>1</xdr:row>
      <xdr:rowOff>152400</xdr:rowOff>
    </xdr:from>
    <xdr:to>
      <xdr:col>15</xdr:col>
      <xdr:colOff>173778</xdr:colOff>
      <xdr:row>5</xdr:row>
      <xdr:rowOff>0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AF87117A-7D2C-41D6-BA3E-0003F89FCBB6}"/>
            </a:ext>
          </a:extLst>
        </xdr:cNvPr>
        <xdr:cNvGrpSpPr/>
      </xdr:nvGrpSpPr>
      <xdr:grpSpPr>
        <a:xfrm>
          <a:off x="9376834" y="657225"/>
          <a:ext cx="1512569" cy="1371600"/>
          <a:chOff x="2114549" y="714375"/>
          <a:chExt cx="1512569" cy="1371600"/>
        </a:xfrm>
      </xdr:grpSpPr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6FE27B98-57DA-43DD-19F5-DD67A23E0C96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6504976F-8BF6-A877-3A8F-1121B8A2DE38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 Progress</a:t>
            </a:r>
          </a:p>
        </xdr:txBody>
      </xdr:sp>
      <xdr:sp macro="" textlink="PivotData!C3">
        <xdr:nvSpPr>
          <xdr:cNvPr id="109" name="Rectangle: Rounded Corners 108">
            <a:extLst>
              <a:ext uri="{FF2B5EF4-FFF2-40B4-BE49-F238E27FC236}">
                <a16:creationId xmlns:a16="http://schemas.microsoft.com/office/drawing/2014/main" id="{0F2F94C4-D600-0FD4-87CA-C58A6B6DF21B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A24A9A-FF4E-4479-9016-D6F8885ADEAE}" type="TxLink">
              <a:rPr lang="en-US" sz="2200" b="1" i="0" u="none" strike="noStrike">
                <a:solidFill>
                  <a:srgbClr val="1F4E78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3</a:t>
            </a:fld>
            <a:endParaRPr lang="en-US" sz="2200" b="1">
              <a:solidFill>
                <a:srgbClr val="1F4E78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9ADBF0A4-D7E1-8094-EC02-BAB9B85D3A9D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136526</xdr:colOff>
      <xdr:row>1</xdr:row>
      <xdr:rowOff>152400</xdr:rowOff>
    </xdr:from>
    <xdr:to>
      <xdr:col>17</xdr:col>
      <xdr:colOff>220345</xdr:colOff>
      <xdr:row>5</xdr:row>
      <xdr:rowOff>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70CAB8E-4B27-4246-AC92-784E5447AE6C}"/>
            </a:ext>
          </a:extLst>
        </xdr:cNvPr>
        <xdr:cNvGrpSpPr/>
      </xdr:nvGrpSpPr>
      <xdr:grpSpPr>
        <a:xfrm>
          <a:off x="10852151" y="657225"/>
          <a:ext cx="1512569" cy="1371600"/>
          <a:chOff x="2114549" y="714375"/>
          <a:chExt cx="1512569" cy="1371600"/>
        </a:xfrm>
      </xdr:grpSpPr>
      <xdr:sp macro="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47EC68E9-1749-CC0A-1C78-3642101A1F54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630C5695-DCA3-AF1F-1731-2A4D8C2C54FF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For Review</a:t>
            </a:r>
          </a:p>
        </xdr:txBody>
      </xdr:sp>
      <xdr:sp macro="" textlink="PivotData!C4">
        <xdr:nvSpPr>
          <xdr:cNvPr id="115" name="Rectangle: Rounded Corners 114">
            <a:extLst>
              <a:ext uri="{FF2B5EF4-FFF2-40B4-BE49-F238E27FC236}">
                <a16:creationId xmlns:a16="http://schemas.microsoft.com/office/drawing/2014/main" id="{0F6260BB-D378-BF99-4E87-AD4F2E81DF51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CBEC07-31D6-4AFE-8166-68FACB70CFA5}" type="TxLink">
              <a:rPr lang="en-US" sz="2200" b="1" i="0" u="none" strike="noStrike">
                <a:solidFill>
                  <a:srgbClr val="ED7D3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3</a:t>
            </a:fld>
            <a:endParaRPr lang="en-US" sz="2200" b="1">
              <a:solidFill>
                <a:srgbClr val="ED7D3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523951C-274F-05E4-7856-EC6C02002DC3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183093</xdr:colOff>
      <xdr:row>1</xdr:row>
      <xdr:rowOff>152400</xdr:rowOff>
    </xdr:from>
    <xdr:to>
      <xdr:col>19</xdr:col>
      <xdr:colOff>266912</xdr:colOff>
      <xdr:row>5</xdr:row>
      <xdr:rowOff>0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3D87971B-085A-4BC5-A128-B2C56D6CF5D2}"/>
            </a:ext>
          </a:extLst>
        </xdr:cNvPr>
        <xdr:cNvGrpSpPr/>
      </xdr:nvGrpSpPr>
      <xdr:grpSpPr>
        <a:xfrm>
          <a:off x="12327468" y="657225"/>
          <a:ext cx="1512569" cy="1371600"/>
          <a:chOff x="2114549" y="714375"/>
          <a:chExt cx="1512569" cy="1371600"/>
        </a:xfrm>
      </xdr:grpSpPr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ACD73FF0-6E2F-1495-1CEA-D23834C5AF62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28149ED2-17B3-29C1-5A42-0AC114D14E46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Completed</a:t>
            </a:r>
          </a:p>
        </xdr:txBody>
      </xdr:sp>
      <xdr:sp macro="" textlink="PivotData!C5">
        <xdr:nvSpPr>
          <xdr:cNvPr id="121" name="Rectangle: Rounded Corners 120">
            <a:extLst>
              <a:ext uri="{FF2B5EF4-FFF2-40B4-BE49-F238E27FC236}">
                <a16:creationId xmlns:a16="http://schemas.microsoft.com/office/drawing/2014/main" id="{AA4EFDD5-C1FD-FFFF-76EF-A391CC9F04B2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7B603A9-58A9-4F8E-A11C-0A8ACEC26757}" type="TxLink">
              <a:rPr lang="en-US" sz="2200" b="1" i="0" u="none" strike="noStrike">
                <a:solidFill>
                  <a:srgbClr val="70AD47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4</a:t>
            </a:fld>
            <a:endParaRPr lang="en-US" sz="2200" b="1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1E4B3C51-02F9-CACF-B2C6-388E93518449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229660</xdr:colOff>
      <xdr:row>1</xdr:row>
      <xdr:rowOff>142875</xdr:rowOff>
    </xdr:from>
    <xdr:to>
      <xdr:col>21</xdr:col>
      <xdr:colOff>313479</xdr:colOff>
      <xdr:row>4</xdr:row>
      <xdr:rowOff>371475</xdr:rowOff>
    </xdr:to>
    <xdr:grpSp>
      <xdr:nvGrpSpPr>
        <xdr:cNvPr id="124" name="Group 123">
          <a:extLst>
            <a:ext uri="{FF2B5EF4-FFF2-40B4-BE49-F238E27FC236}">
              <a16:creationId xmlns:a16="http://schemas.microsoft.com/office/drawing/2014/main" id="{74F20C82-FB36-4303-9963-ADD5AEE22F40}"/>
            </a:ext>
          </a:extLst>
        </xdr:cNvPr>
        <xdr:cNvGrpSpPr/>
      </xdr:nvGrpSpPr>
      <xdr:grpSpPr>
        <a:xfrm>
          <a:off x="13802785" y="647700"/>
          <a:ext cx="1512569" cy="1371600"/>
          <a:chOff x="2114549" y="714375"/>
          <a:chExt cx="1512569" cy="1371600"/>
        </a:xfrm>
      </xdr:grpSpPr>
      <xdr:sp macro="" textlink="">
        <xdr:nvSpPr>
          <xdr:cNvPr id="125" name="Rectangle 124">
            <a:extLst>
              <a:ext uri="{FF2B5EF4-FFF2-40B4-BE49-F238E27FC236}">
                <a16:creationId xmlns:a16="http://schemas.microsoft.com/office/drawing/2014/main" id="{88851611-26DC-4459-4689-8B2F156AB2BE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6" name="TextBox 125">
            <a:extLst>
              <a:ext uri="{FF2B5EF4-FFF2-40B4-BE49-F238E27FC236}">
                <a16:creationId xmlns:a16="http://schemas.microsoft.com/office/drawing/2014/main" id="{7430193C-EA6C-E91B-EDE6-DDA7E4986608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On Hold</a:t>
            </a:r>
          </a:p>
        </xdr:txBody>
      </xdr:sp>
      <xdr:sp macro="" textlink="PivotData!C6">
        <xdr:nvSpPr>
          <xdr:cNvPr id="127" name="Rectangle: Rounded Corners 126">
            <a:extLst>
              <a:ext uri="{FF2B5EF4-FFF2-40B4-BE49-F238E27FC236}">
                <a16:creationId xmlns:a16="http://schemas.microsoft.com/office/drawing/2014/main" id="{A8857646-C737-D83F-3B3B-94D1096E246E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92F2B34-8A33-4BD9-888D-75E6348A2268}" type="TxLink">
              <a:rPr lang="en-US" sz="2200" b="1" i="0" u="none" strike="noStrike">
                <a:solidFill>
                  <a:srgbClr val="7F6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</a:t>
            </a:fld>
            <a:endParaRPr lang="en-US" sz="2200" b="1">
              <a:solidFill>
                <a:srgbClr val="7F6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1A1820C9-8DB2-6287-8CAB-9698DD3E1538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276224</xdr:colOff>
      <xdr:row>1</xdr:row>
      <xdr:rowOff>142875</xdr:rowOff>
    </xdr:from>
    <xdr:to>
      <xdr:col>23</xdr:col>
      <xdr:colOff>360043</xdr:colOff>
      <xdr:row>4</xdr:row>
      <xdr:rowOff>371475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FF575180-B53E-4F24-BF23-78AD75115000}"/>
            </a:ext>
          </a:extLst>
        </xdr:cNvPr>
        <xdr:cNvGrpSpPr/>
      </xdr:nvGrpSpPr>
      <xdr:grpSpPr>
        <a:xfrm>
          <a:off x="15278099" y="647700"/>
          <a:ext cx="1512569" cy="1371600"/>
          <a:chOff x="2114549" y="714375"/>
          <a:chExt cx="1512569" cy="137160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AE36E7DD-FC45-8B3F-AA00-F464030FDB09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225DBA87-767A-B7D3-9FBE-DBBC35F2972E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Cancelled</a:t>
            </a:r>
          </a:p>
        </xdr:txBody>
      </xdr:sp>
      <xdr:sp macro="" textlink="PivotData!C7">
        <xdr:nvSpPr>
          <xdr:cNvPr id="133" name="Rectangle: Rounded Corners 132">
            <a:extLst>
              <a:ext uri="{FF2B5EF4-FFF2-40B4-BE49-F238E27FC236}">
                <a16:creationId xmlns:a16="http://schemas.microsoft.com/office/drawing/2014/main" id="{1F55B56F-9E3F-D261-6234-1CFA9E05150A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B976432-B47C-4F42-914F-033782DC5064}" type="TxLink">
              <a:rPr lang="en-US" sz="2200" b="1" i="0" u="none" strike="noStrike">
                <a:solidFill>
                  <a:srgbClr val="7A7A7A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2</a:t>
            </a:fld>
            <a:endParaRPr lang="en-US" sz="2200" b="1">
              <a:solidFill>
                <a:srgbClr val="7A7A7A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35" name="Straight Connector 134">
            <a:extLst>
              <a:ext uri="{FF2B5EF4-FFF2-40B4-BE49-F238E27FC236}">
                <a16:creationId xmlns:a16="http://schemas.microsoft.com/office/drawing/2014/main" id="{DD87E9D9-402D-78C5-341A-EF8FD676B643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257175</xdr:colOff>
      <xdr:row>2</xdr:row>
      <xdr:rowOff>228600</xdr:rowOff>
    </xdr:from>
    <xdr:to>
      <xdr:col>5</xdr:col>
      <xdr:colOff>485775</xdr:colOff>
      <xdr:row>3</xdr:row>
      <xdr:rowOff>76200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32081A3E-245B-037B-15F9-33D3BC732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29050" y="11144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7</xdr:col>
      <xdr:colOff>323850</xdr:colOff>
      <xdr:row>2</xdr:row>
      <xdr:rowOff>219075</xdr:rowOff>
    </xdr:from>
    <xdr:to>
      <xdr:col>7</xdr:col>
      <xdr:colOff>552450</xdr:colOff>
      <xdr:row>3</xdr:row>
      <xdr:rowOff>66675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82594185-995D-F3A6-E026-89E78DEA5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24475" y="1104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378600</xdr:colOff>
      <xdr:row>2</xdr:row>
      <xdr:rowOff>226200</xdr:rowOff>
    </xdr:from>
    <xdr:to>
      <xdr:col>9</xdr:col>
      <xdr:colOff>607200</xdr:colOff>
      <xdr:row>3</xdr:row>
      <xdr:rowOff>73800</xdr:rowOff>
    </xdr:to>
    <xdr:pic>
      <xdr:nvPicPr>
        <xdr:cNvPr id="141" name="Graphic 140">
          <a:extLst>
            <a:ext uri="{FF2B5EF4-FFF2-40B4-BE49-F238E27FC236}">
              <a16:creationId xmlns:a16="http://schemas.microsoft.com/office/drawing/2014/main" id="{FE7A0EC3-05AA-3A71-A8D2-AB10F6360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807975" y="11120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2</xdr:row>
      <xdr:rowOff>219075</xdr:rowOff>
    </xdr:from>
    <xdr:to>
      <xdr:col>11</xdr:col>
      <xdr:colOff>666750</xdr:colOff>
      <xdr:row>3</xdr:row>
      <xdr:rowOff>66675</xdr:rowOff>
    </xdr:to>
    <xdr:pic>
      <xdr:nvPicPr>
        <xdr:cNvPr id="143" name="Graphic 142">
          <a:extLst>
            <a:ext uri="{FF2B5EF4-FFF2-40B4-BE49-F238E27FC236}">
              <a16:creationId xmlns:a16="http://schemas.microsoft.com/office/drawing/2014/main" id="{F76ADF7B-7A30-DBCF-529D-E81CAFB6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96275" y="1104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2</xdr:row>
      <xdr:rowOff>209550</xdr:rowOff>
    </xdr:from>
    <xdr:to>
      <xdr:col>13</xdr:col>
      <xdr:colOff>704850</xdr:colOff>
      <xdr:row>3</xdr:row>
      <xdr:rowOff>57150</xdr:rowOff>
    </xdr:to>
    <xdr:pic>
      <xdr:nvPicPr>
        <xdr:cNvPr id="145" name="Graphic 144">
          <a:extLst>
            <a:ext uri="{FF2B5EF4-FFF2-40B4-BE49-F238E27FC236}">
              <a16:creationId xmlns:a16="http://schemas.microsoft.com/office/drawing/2014/main" id="{4BAA0022-A984-87EE-8E46-6B19E9958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763125" y="10953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15</xdr:col>
      <xdr:colOff>514350</xdr:colOff>
      <xdr:row>2</xdr:row>
      <xdr:rowOff>200025</xdr:rowOff>
    </xdr:from>
    <xdr:to>
      <xdr:col>16</xdr:col>
      <xdr:colOff>28575</xdr:colOff>
      <xdr:row>3</xdr:row>
      <xdr:rowOff>47625</xdr:rowOff>
    </xdr:to>
    <xdr:pic>
      <xdr:nvPicPr>
        <xdr:cNvPr id="147" name="Graphic 146">
          <a:extLst>
            <a:ext uri="{FF2B5EF4-FFF2-40B4-BE49-F238E27FC236}">
              <a16:creationId xmlns:a16="http://schemas.microsoft.com/office/drawing/2014/main" id="{4258CC7D-C12C-24F6-A750-5D7630AC0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1229975" y="10858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17</xdr:col>
      <xdr:colOff>561975</xdr:colOff>
      <xdr:row>2</xdr:row>
      <xdr:rowOff>209550</xdr:rowOff>
    </xdr:from>
    <xdr:to>
      <xdr:col>18</xdr:col>
      <xdr:colOff>76200</xdr:colOff>
      <xdr:row>3</xdr:row>
      <xdr:rowOff>57150</xdr:rowOff>
    </xdr:to>
    <xdr:pic>
      <xdr:nvPicPr>
        <xdr:cNvPr id="149" name="Graphic 148">
          <a:extLst>
            <a:ext uri="{FF2B5EF4-FFF2-40B4-BE49-F238E27FC236}">
              <a16:creationId xmlns:a16="http://schemas.microsoft.com/office/drawing/2014/main" id="{3F75B497-9DE7-F41D-CD9B-588A67978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706350" y="10953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600075</xdr:colOff>
      <xdr:row>2</xdr:row>
      <xdr:rowOff>209550</xdr:rowOff>
    </xdr:from>
    <xdr:to>
      <xdr:col>20</xdr:col>
      <xdr:colOff>114300</xdr:colOff>
      <xdr:row>3</xdr:row>
      <xdr:rowOff>57150</xdr:rowOff>
    </xdr:to>
    <xdr:pic>
      <xdr:nvPicPr>
        <xdr:cNvPr id="151" name="Graphic 150">
          <a:extLst>
            <a:ext uri="{FF2B5EF4-FFF2-40B4-BE49-F238E27FC236}">
              <a16:creationId xmlns:a16="http://schemas.microsoft.com/office/drawing/2014/main" id="{73CE8DF2-193D-BBB8-8EE9-EA9CA04A1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4173200" y="10953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21</xdr:col>
      <xdr:colOff>657225</xdr:colOff>
      <xdr:row>2</xdr:row>
      <xdr:rowOff>200025</xdr:rowOff>
    </xdr:from>
    <xdr:to>
      <xdr:col>22</xdr:col>
      <xdr:colOff>171450</xdr:colOff>
      <xdr:row>3</xdr:row>
      <xdr:rowOff>47625</xdr:rowOff>
    </xdr:to>
    <xdr:pic>
      <xdr:nvPicPr>
        <xdr:cNvPr id="153" name="Graphic 152">
          <a:extLst>
            <a:ext uri="{FF2B5EF4-FFF2-40B4-BE49-F238E27FC236}">
              <a16:creationId xmlns:a16="http://schemas.microsoft.com/office/drawing/2014/main" id="{51F9EB9E-BC97-7A71-734B-FD576D415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659100" y="108585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123824</xdr:colOff>
      <xdr:row>3</xdr:row>
      <xdr:rowOff>133350</xdr:rowOff>
    </xdr:from>
    <xdr:to>
      <xdr:col>0</xdr:col>
      <xdr:colOff>352424</xdr:colOff>
      <xdr:row>3</xdr:row>
      <xdr:rowOff>361950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CC6A6B0C-E53E-4B71-95FF-B03771A1A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23824" y="14001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4</xdr:row>
      <xdr:rowOff>219075</xdr:rowOff>
    </xdr:from>
    <xdr:to>
      <xdr:col>0</xdr:col>
      <xdr:colOff>342900</xdr:colOff>
      <xdr:row>5</xdr:row>
      <xdr:rowOff>66675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DEFEA5BD-9441-C591-B6A8-CF62635CE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14300" y="1866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5</xdr:row>
      <xdr:rowOff>314325</xdr:rowOff>
    </xdr:from>
    <xdr:to>
      <xdr:col>0</xdr:col>
      <xdr:colOff>352425</xdr:colOff>
      <xdr:row>6</xdr:row>
      <xdr:rowOff>161925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450E84EC-0341-C86A-CA06-4786DDDFD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23825" y="2343150"/>
          <a:ext cx="228600" cy="228600"/>
        </a:xfrm>
        <a:prstGeom prst="rect">
          <a:avLst/>
        </a:prstGeom>
      </xdr:spPr>
    </xdr:pic>
    <xdr:clientData/>
  </xdr:twoCellAnchor>
  <xdr:twoCellAnchor>
    <xdr:from>
      <xdr:col>2</xdr:col>
      <xdr:colOff>571500</xdr:colOff>
      <xdr:row>5</xdr:row>
      <xdr:rowOff>171450</xdr:rowOff>
    </xdr:from>
    <xdr:to>
      <xdr:col>10</xdr:col>
      <xdr:colOff>180975</xdr:colOff>
      <xdr:row>12</xdr:row>
      <xdr:rowOff>247650</xdr:rowOff>
    </xdr:to>
    <xdr:graphicFrame macro="">
      <xdr:nvGraphicFramePr>
        <xdr:cNvPr id="159" name="Chart 158">
          <a:extLst>
            <a:ext uri="{FF2B5EF4-FFF2-40B4-BE49-F238E27FC236}">
              <a16:creationId xmlns:a16="http://schemas.microsoft.com/office/drawing/2014/main" id="{AE8690FF-C2ED-4DDC-A18C-A44FA53FA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</xdr:col>
      <xdr:colOff>323850</xdr:colOff>
      <xdr:row>5</xdr:row>
      <xdr:rowOff>171450</xdr:rowOff>
    </xdr:from>
    <xdr:to>
      <xdr:col>18</xdr:col>
      <xdr:colOff>66675</xdr:colOff>
      <xdr:row>12</xdr:row>
      <xdr:rowOff>247650</xdr:rowOff>
    </xdr:to>
    <xdr:graphicFrame macro="">
      <xdr:nvGraphicFramePr>
        <xdr:cNvPr id="160" name="Chart 159">
          <a:extLst>
            <a:ext uri="{FF2B5EF4-FFF2-40B4-BE49-F238E27FC236}">
              <a16:creationId xmlns:a16="http://schemas.microsoft.com/office/drawing/2014/main" id="{B7803402-7666-444A-B1C3-85C9D63C7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576262</xdr:colOff>
      <xdr:row>12</xdr:row>
      <xdr:rowOff>371475</xdr:rowOff>
    </xdr:from>
    <xdr:to>
      <xdr:col>10</xdr:col>
      <xdr:colOff>185737</xdr:colOff>
      <xdr:row>20</xdr:row>
      <xdr:rowOff>66675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id="{C1BEC1C6-CEB1-42D3-8E13-3A530766D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</xdr:col>
      <xdr:colOff>323850</xdr:colOff>
      <xdr:row>12</xdr:row>
      <xdr:rowOff>371475</xdr:rowOff>
    </xdr:from>
    <xdr:to>
      <xdr:col>18</xdr:col>
      <xdr:colOff>66675</xdr:colOff>
      <xdr:row>20</xdr:row>
      <xdr:rowOff>66675</xdr:rowOff>
    </xdr:to>
    <xdr:graphicFrame macro="">
      <xdr:nvGraphicFramePr>
        <xdr:cNvPr id="162" name="Chart 161">
          <a:extLst>
            <a:ext uri="{FF2B5EF4-FFF2-40B4-BE49-F238E27FC236}">
              <a16:creationId xmlns:a16="http://schemas.microsoft.com/office/drawing/2014/main" id="{1BE907E5-3750-405E-A25B-0E85AF07E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</xdr:col>
      <xdr:colOff>352425</xdr:colOff>
      <xdr:row>21</xdr:row>
      <xdr:rowOff>66675</xdr:rowOff>
    </xdr:from>
    <xdr:to>
      <xdr:col>4</xdr:col>
      <xdr:colOff>581025</xdr:colOff>
      <xdr:row>21</xdr:row>
      <xdr:rowOff>295275</xdr:rowOff>
    </xdr:to>
    <xdr:pic>
      <xdr:nvPicPr>
        <xdr:cNvPr id="167" name="Graphic 166">
          <a:extLst>
            <a:ext uri="{FF2B5EF4-FFF2-40B4-BE49-F238E27FC236}">
              <a16:creationId xmlns:a16="http://schemas.microsoft.com/office/drawing/2014/main" id="{4819A986-226E-BCCE-2EEB-D47A2B59E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3209925" y="81915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21</xdr:row>
      <xdr:rowOff>76200</xdr:rowOff>
    </xdr:from>
    <xdr:to>
      <xdr:col>11</xdr:col>
      <xdr:colOff>285750</xdr:colOff>
      <xdr:row>21</xdr:row>
      <xdr:rowOff>304800</xdr:rowOff>
    </xdr:to>
    <xdr:pic>
      <xdr:nvPicPr>
        <xdr:cNvPr id="171" name="Graphic 170">
          <a:extLst>
            <a:ext uri="{FF2B5EF4-FFF2-40B4-BE49-F238E27FC236}">
              <a16:creationId xmlns:a16="http://schemas.microsoft.com/office/drawing/2014/main" id="{19CC5EFB-FB31-91EF-E9CA-02E20174D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7915275" y="8201025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76200</xdr:rowOff>
        </xdr:from>
        <xdr:to>
          <xdr:col>18</xdr:col>
          <xdr:colOff>409575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3333"/>
                  </a:solidFill>
                  <a:latin typeface="Segoi U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342900</xdr:colOff>
      <xdr:row>21</xdr:row>
      <xdr:rowOff>85725</xdr:rowOff>
    </xdr:from>
    <xdr:to>
      <xdr:col>18</xdr:col>
      <xdr:colOff>571500</xdr:colOff>
      <xdr:row>21</xdr:row>
      <xdr:rowOff>314325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5ADE5C8-CC6D-3EC7-8253-DAFBD63FC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3201650" y="8210550"/>
          <a:ext cx="228600" cy="228600"/>
        </a:xfrm>
        <a:prstGeom prst="rect">
          <a:avLst/>
        </a:prstGeom>
      </xdr:spPr>
    </xdr:pic>
    <xdr:clientData/>
  </xdr:twoCellAnchor>
  <xdr:twoCellAnchor>
    <xdr:from>
      <xdr:col>21</xdr:col>
      <xdr:colOff>220717</xdr:colOff>
      <xdr:row>5</xdr:row>
      <xdr:rowOff>174406</xdr:rowOff>
    </xdr:from>
    <xdr:to>
      <xdr:col>24</xdr:col>
      <xdr:colOff>89272</xdr:colOff>
      <xdr:row>12</xdr:row>
      <xdr:rowOff>250606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64F4DAC5-FACE-450D-9E03-926EFFC0D619}"/>
            </a:ext>
          </a:extLst>
        </xdr:cNvPr>
        <xdr:cNvSpPr/>
      </xdr:nvSpPr>
      <xdr:spPr>
        <a:xfrm>
          <a:off x="15179108" y="2203645"/>
          <a:ext cx="2005468" cy="2743200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219075</xdr:colOff>
      <xdr:row>5</xdr:row>
      <xdr:rowOff>190500</xdr:rowOff>
    </xdr:from>
    <xdr:to>
      <xdr:col>24</xdr:col>
      <xdr:colOff>87630</xdr:colOff>
      <xdr:row>6</xdr:row>
      <xdr:rowOff>83820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319BF8EB-67E8-4DD7-B8C4-0D76A34F8669}"/>
            </a:ext>
          </a:extLst>
        </xdr:cNvPr>
        <xdr:cNvSpPr txBox="1"/>
      </xdr:nvSpPr>
      <xdr:spPr>
        <a:xfrm>
          <a:off x="15220950" y="2219325"/>
          <a:ext cx="2011680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Workload Summary</a:t>
          </a:r>
        </a:p>
      </xdr:txBody>
    </xdr:sp>
    <xdr:clientData/>
  </xdr:twoCellAnchor>
  <xdr:twoCellAnchor>
    <xdr:from>
      <xdr:col>21</xdr:col>
      <xdr:colOff>219075</xdr:colOff>
      <xdr:row>6</xdr:row>
      <xdr:rowOff>129780</xdr:rowOff>
    </xdr:from>
    <xdr:to>
      <xdr:col>24</xdr:col>
      <xdr:colOff>87630</xdr:colOff>
      <xdr:row>6</xdr:row>
      <xdr:rowOff>129780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6547FCB2-D541-451F-AF65-91276B621B53}"/>
            </a:ext>
          </a:extLst>
        </xdr:cNvPr>
        <xdr:cNvCxnSpPr/>
      </xdr:nvCxnSpPr>
      <xdr:spPr>
        <a:xfrm>
          <a:off x="15220950" y="2539605"/>
          <a:ext cx="2011680" cy="0"/>
        </a:xfrm>
        <a:prstGeom prst="line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219075</xdr:colOff>
      <xdr:row>5</xdr:row>
      <xdr:rowOff>174407</xdr:rowOff>
    </xdr:from>
    <xdr:to>
      <xdr:col>21</xdr:col>
      <xdr:colOff>97155</xdr:colOff>
      <xdr:row>12</xdr:row>
      <xdr:rowOff>250607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8F303F19-C230-9E44-908B-D75C0920B80A}"/>
            </a:ext>
          </a:extLst>
        </xdr:cNvPr>
        <xdr:cNvGrpSpPr/>
      </xdr:nvGrpSpPr>
      <xdr:grpSpPr>
        <a:xfrm>
          <a:off x="13077825" y="2203232"/>
          <a:ext cx="2021205" cy="2743200"/>
          <a:chOff x="13040553" y="2203646"/>
          <a:chExt cx="2014993" cy="2743200"/>
        </a:xfrm>
      </xdr:grpSpPr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AE0B5CDB-E835-EB3E-9E84-7E13D5D9BE7C}"/>
              </a:ext>
            </a:extLst>
          </xdr:cNvPr>
          <xdr:cNvSpPr/>
        </xdr:nvSpPr>
        <xdr:spPr>
          <a:xfrm>
            <a:off x="13042195" y="2203646"/>
            <a:ext cx="2005468" cy="27432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4EA732D1-56F0-4D9A-A2E5-533F96A33463}"/>
              </a:ext>
            </a:extLst>
          </xdr:cNvPr>
          <xdr:cNvSpPr txBox="1"/>
        </xdr:nvSpPr>
        <xdr:spPr>
          <a:xfrm>
            <a:off x="13040553" y="2219739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Risk Summary</a:t>
            </a: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2607C574-0E93-46F4-A721-9E160DE2362E}"/>
              </a:ext>
            </a:extLst>
          </xdr:cNvPr>
          <xdr:cNvSpPr txBox="1"/>
        </xdr:nvSpPr>
        <xdr:spPr>
          <a:xfrm>
            <a:off x="13040553" y="26864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Critical : </a:t>
            </a:r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5230CF4B-7001-4D7C-A2B2-965CD849F949}"/>
              </a:ext>
            </a:extLst>
          </xdr:cNvPr>
          <xdr:cNvCxnSpPr/>
        </xdr:nvCxnSpPr>
        <xdr:spPr>
          <a:xfrm>
            <a:off x="13040553" y="2538828"/>
            <a:ext cx="2005468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B37F41F0-D75B-422A-AD6B-3425C7E93B5C}"/>
              </a:ext>
            </a:extLst>
          </xdr:cNvPr>
          <xdr:cNvSpPr txBox="1"/>
        </xdr:nvSpPr>
        <xdr:spPr>
          <a:xfrm>
            <a:off x="13040553" y="29531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Overdue : 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23C33AB4-413D-4D2B-B1A5-76F341C40A1F}"/>
              </a:ext>
            </a:extLst>
          </xdr:cNvPr>
          <xdr:cNvSpPr txBox="1"/>
        </xdr:nvSpPr>
        <xdr:spPr>
          <a:xfrm>
            <a:off x="13050078" y="32198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Due Soon : 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34571050-89B6-4698-A770-F8258B21438C}"/>
              </a:ext>
            </a:extLst>
          </xdr:cNvPr>
          <xdr:cNvSpPr txBox="1"/>
        </xdr:nvSpPr>
        <xdr:spPr>
          <a:xfrm>
            <a:off x="13050078" y="34865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On Track : </a:t>
            </a:r>
          </a:p>
        </xdr:txBody>
      </xdr:sp>
    </xdr:grpSp>
    <xdr:clientData/>
  </xdr:twoCellAnchor>
  <xdr:twoCellAnchor>
    <xdr:from>
      <xdr:col>21</xdr:col>
      <xdr:colOff>227357</xdr:colOff>
      <xdr:row>6</xdr:row>
      <xdr:rowOff>282080</xdr:rowOff>
    </xdr:from>
    <xdr:to>
      <xdr:col>24</xdr:col>
      <xdr:colOff>95912</xdr:colOff>
      <xdr:row>7</xdr:row>
      <xdr:rowOff>175400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F70D13F-3FC5-4115-A5E9-B7B9FC75213B}"/>
            </a:ext>
          </a:extLst>
        </xdr:cNvPr>
        <xdr:cNvSpPr txBox="1"/>
      </xdr:nvSpPr>
      <xdr:spPr>
        <a:xfrm>
          <a:off x="15185748" y="26923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Engineers : </a:t>
          </a:r>
        </a:p>
      </xdr:txBody>
    </xdr:sp>
    <xdr:clientData/>
  </xdr:twoCellAnchor>
  <xdr:twoCellAnchor>
    <xdr:from>
      <xdr:col>21</xdr:col>
      <xdr:colOff>227357</xdr:colOff>
      <xdr:row>7</xdr:row>
      <xdr:rowOff>167780</xdr:rowOff>
    </xdr:from>
    <xdr:to>
      <xdr:col>24</xdr:col>
      <xdr:colOff>95912</xdr:colOff>
      <xdr:row>8</xdr:row>
      <xdr:rowOff>61100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B8FC7A76-9F87-484C-8902-22E16FAFDEA3}"/>
            </a:ext>
          </a:extLst>
        </xdr:cNvPr>
        <xdr:cNvSpPr txBox="1"/>
      </xdr:nvSpPr>
      <xdr:spPr>
        <a:xfrm>
          <a:off x="15185748" y="29590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Clients : </a:t>
          </a:r>
        </a:p>
      </xdr:txBody>
    </xdr:sp>
    <xdr:clientData/>
  </xdr:twoCellAnchor>
  <xdr:twoCellAnchor>
    <xdr:from>
      <xdr:col>21</xdr:col>
      <xdr:colOff>236882</xdr:colOff>
      <xdr:row>8</xdr:row>
      <xdr:rowOff>53480</xdr:rowOff>
    </xdr:from>
    <xdr:to>
      <xdr:col>24</xdr:col>
      <xdr:colOff>105437</xdr:colOff>
      <xdr:row>8</xdr:row>
      <xdr:rowOff>327800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C776A231-9133-4D9C-B471-E6F271ED0007}"/>
            </a:ext>
          </a:extLst>
        </xdr:cNvPr>
        <xdr:cNvSpPr txBox="1"/>
      </xdr:nvSpPr>
      <xdr:spPr>
        <a:xfrm>
          <a:off x="15195273" y="32257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Avg Days : </a:t>
          </a:r>
        </a:p>
      </xdr:txBody>
    </xdr:sp>
    <xdr:clientData/>
  </xdr:twoCellAnchor>
  <xdr:twoCellAnchor>
    <xdr:from>
      <xdr:col>21</xdr:col>
      <xdr:colOff>236882</xdr:colOff>
      <xdr:row>8</xdr:row>
      <xdr:rowOff>320180</xdr:rowOff>
    </xdr:from>
    <xdr:to>
      <xdr:col>24</xdr:col>
      <xdr:colOff>105437</xdr:colOff>
      <xdr:row>9</xdr:row>
      <xdr:rowOff>213500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D9C351A-F4C9-43B1-9885-C56D0BFC005B}"/>
            </a:ext>
          </a:extLst>
        </xdr:cNvPr>
        <xdr:cNvSpPr txBox="1"/>
      </xdr:nvSpPr>
      <xdr:spPr>
        <a:xfrm>
          <a:off x="15195273" y="34924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Avg Age : </a:t>
          </a:r>
        </a:p>
      </xdr:txBody>
    </xdr:sp>
    <xdr:clientData/>
  </xdr:twoCellAnchor>
  <xdr:twoCellAnchor editAs="oneCell">
    <xdr:from>
      <xdr:col>18</xdr:col>
      <xdr:colOff>457200</xdr:colOff>
      <xdr:row>5</xdr:row>
      <xdr:rowOff>228600</xdr:rowOff>
    </xdr:from>
    <xdr:to>
      <xdr:col>18</xdr:col>
      <xdr:colOff>685800</xdr:colOff>
      <xdr:row>6</xdr:row>
      <xdr:rowOff>76200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AB35568C-30C5-2915-587F-D7F9168A1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13315950" y="22574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21</xdr:col>
      <xdr:colOff>295275</xdr:colOff>
      <xdr:row>5</xdr:row>
      <xdr:rowOff>228600</xdr:rowOff>
    </xdr:from>
    <xdr:to>
      <xdr:col>21</xdr:col>
      <xdr:colOff>523875</xdr:colOff>
      <xdr:row>6</xdr:row>
      <xdr:rowOff>76200</xdr:rowOff>
    </xdr:to>
    <xdr:pic>
      <xdr:nvPicPr>
        <xdr:cNvPr id="12" name="Graphic 11">
          <a:extLst>
            <a:ext uri="{FF2B5EF4-FFF2-40B4-BE49-F238E27FC236}">
              <a16:creationId xmlns:a16="http://schemas.microsoft.com/office/drawing/2014/main" id="{E1B9C1B9-5162-8835-73D6-54653F28E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5297150" y="2257425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24</xdr:row>
      <xdr:rowOff>100012</xdr:rowOff>
    </xdr:from>
    <xdr:to>
      <xdr:col>4</xdr:col>
      <xdr:colOff>981075</xdr:colOff>
      <xdr:row>38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B7E5C7-2C2D-4558-8476-33986059D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1171575</xdr:colOff>
      <xdr:row>24</xdr:row>
      <xdr:rowOff>100012</xdr:rowOff>
    </xdr:from>
    <xdr:to>
      <xdr:col>9</xdr:col>
      <xdr:colOff>542925</xdr:colOff>
      <xdr:row>38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C1087B-7F10-4413-D031-F03C05C4F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300037</xdr:colOff>
      <xdr:row>39</xdr:row>
      <xdr:rowOff>80962</xdr:rowOff>
    </xdr:from>
    <xdr:to>
      <xdr:col>4</xdr:col>
      <xdr:colOff>985837</xdr:colOff>
      <xdr:row>53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18CBB7-12E9-9CE7-4872-AF4B062F9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1171575</xdr:colOff>
      <xdr:row>39</xdr:row>
      <xdr:rowOff>80962</xdr:rowOff>
    </xdr:from>
    <xdr:to>
      <xdr:col>9</xdr:col>
      <xdr:colOff>542925</xdr:colOff>
      <xdr:row>53</xdr:row>
      <xdr:rowOff>157162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765413-F58A-30C2-BBBD-5DC845E9E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25.409800000001" createdVersion="8" refreshedVersion="8" minRefreshableVersion="3" recordCount="15" xr:uid="{4BCD8D28-DA77-499D-8EE0-A3DDF33B2738}">
  <cacheSource type="worksheet">
    <worksheetSource name="tblProjects"/>
  </cacheSource>
  <cacheFields count="11">
    <cacheField name="Project ID" numFmtId="0">
      <sharedItems/>
    </cacheField>
    <cacheField name="Project Name" numFmtId="0">
      <sharedItems/>
    </cacheField>
    <cacheField name="Client" numFmtId="0">
      <sharedItems count="4">
        <s v="ABC Construction"/>
        <s v="XYZ Builders"/>
        <s v="Vertex Engineering"/>
        <s v="Prime Structures Inc."/>
      </sharedItems>
    </cacheField>
    <cacheField name="Engineer" numFmtId="0">
      <sharedItems count="5">
        <s v="John Magpantay"/>
        <s v="Michael Santos"/>
        <s v="Sarah Cruz"/>
        <s v="David Reyes"/>
        <s v="John Carlo" u="1"/>
      </sharedItems>
    </cacheField>
    <cacheField name="Status" numFmtId="0">
      <sharedItems count="6">
        <s v="Completed"/>
        <s v="In Progress"/>
        <s v="For Review"/>
        <s v="On Hold"/>
        <s v="Cancelled"/>
        <s v="Planning"/>
      </sharedItems>
    </cacheField>
    <cacheField name="Start Date" numFmtId="14">
      <sharedItems containsSemiMixedTypes="0" containsNonDate="0" containsDate="1" containsString="0" minDate="2026-06-15T00:00:00" maxDate="2026-07-20T00:00:00"/>
    </cacheField>
    <cacheField name="Due Date" numFmtId="14">
      <sharedItems containsSemiMixedTypes="0" containsNonDate="0" containsDate="1" containsString="0" minDate="2026-07-12T00:00:00" maxDate="2026-09-06T00:00:00"/>
    </cacheField>
    <cacheField name="Priority" numFmtId="0">
      <sharedItems count="4">
        <s v="High"/>
        <s v="Medium"/>
        <s v="Low"/>
        <s v="Critical"/>
      </sharedItems>
    </cacheField>
    <cacheField name="Description" numFmtId="0">
      <sharedItems/>
    </cacheField>
    <cacheField name="Days Remaining" numFmtId="0">
      <sharedItems containsSemiMixedTypes="0" containsString="0" containsNumber="1" containsInteger="1" minValue="-10" maxValue="45"/>
    </cacheField>
    <cacheField name="Project Health" numFmtId="0">
      <sharedItems count="3">
        <s v="On Track"/>
        <s v="Overdue"/>
        <s v="Due So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PRJ-001"/>
    <s v="Two-Story Residential House"/>
    <x v="0"/>
    <x v="0"/>
    <x v="0"/>
    <d v="2026-07-01T00:00:00"/>
    <d v="2026-08-15T00:00:00"/>
    <x v="0"/>
    <s v="Residential structural design"/>
    <n v="24"/>
    <x v="0"/>
  </r>
  <r>
    <s v="PRJ-002"/>
    <s v="Warehouse Expansion"/>
    <x v="1"/>
    <x v="1"/>
    <x v="1"/>
    <d v="2026-07-10T00:00:00"/>
    <d v="2026-07-18T00:00:00"/>
    <x v="1"/>
    <s v="Warehouse extension project"/>
    <n v="-4"/>
    <x v="1"/>
  </r>
  <r>
    <s v="PRJ-003"/>
    <s v="Office Building Renovation"/>
    <x v="2"/>
    <x v="2"/>
    <x v="2"/>
    <d v="2026-06-20T00:00:00"/>
    <d v="2026-07-25T00:00:00"/>
    <x v="0"/>
    <s v="Structural renovation"/>
    <n v="3"/>
    <x v="2"/>
  </r>
  <r>
    <s v="PRJ-004"/>
    <s v="School Building Extension"/>
    <x v="3"/>
    <x v="0"/>
    <x v="0"/>
    <d v="2026-07-05T00:00:00"/>
    <d v="2026-07-15T00:00:00"/>
    <x v="1"/>
    <s v="Structural drawings completed"/>
    <n v="-7"/>
    <x v="1"/>
  </r>
  <r>
    <s v="PRJ-005"/>
    <s v="Bridge Inspection Report"/>
    <x v="0"/>
    <x v="1"/>
    <x v="3"/>
    <d v="2026-07-15T00:00:00"/>
    <d v="2026-08-10T00:00:00"/>
    <x v="0"/>
    <s v="Awaiting client approval"/>
    <n v="19"/>
    <x v="0"/>
  </r>
  <r>
    <s v="PRJ-006"/>
    <s v="Retaining Wall Design"/>
    <x v="1"/>
    <x v="2"/>
    <x v="4"/>
    <d v="2026-07-02T00:00:00"/>
    <d v="2026-07-30T00:00:00"/>
    <x v="2"/>
    <s v="Project cancelled by client"/>
    <n v="8"/>
    <x v="0"/>
  </r>
  <r>
    <s v="PRJ-007"/>
    <s v="Commercial Building Foundation"/>
    <x v="2"/>
    <x v="3"/>
    <x v="1"/>
    <d v="2026-07-16T00:00:00"/>
    <d v="2026-08-05T00:00:00"/>
    <x v="3"/>
    <s v="Foundation calculations ongoing"/>
    <n v="14"/>
    <x v="0"/>
  </r>
  <r>
    <s v="PRJ-008"/>
    <s v="Water Tank Structural Assessment"/>
    <x v="3"/>
    <x v="0"/>
    <x v="5"/>
    <d v="2026-07-18T00:00:00"/>
    <d v="2026-08-20T00:00:00"/>
    <x v="1"/>
    <s v="Initial project planning"/>
    <n v="29"/>
    <x v="0"/>
  </r>
  <r>
    <s v="PRJ-009"/>
    <s v="Steel Canopy Design"/>
    <x v="0"/>
    <x v="1"/>
    <x v="2"/>
    <d v="2026-07-10T00:00:00"/>
    <d v="2026-07-22T00:00:00"/>
    <x v="0"/>
    <s v="Waiting for engineer review"/>
    <n v="0"/>
    <x v="2"/>
  </r>
  <r>
    <s v="PRJ-010"/>
    <s v="Hospital Seismic Retrofit"/>
    <x v="2"/>
    <x v="3"/>
    <x v="0"/>
    <d v="2026-06-15T00:00:00"/>
    <d v="2026-07-12T00:00:00"/>
    <x v="3"/>
    <s v="Final structural retrofit completed"/>
    <n v="-10"/>
    <x v="1"/>
  </r>
  <r>
    <s v="PRJ-011"/>
    <s v="Parking Garage Expansion"/>
    <x v="1"/>
    <x v="0"/>
    <x v="1"/>
    <d v="2026-07-18T00:00:00"/>
    <d v="2026-08-28T00:00:00"/>
    <x v="0"/>
    <s v="Preparing structural framing plans"/>
    <n v="37"/>
    <x v="0"/>
  </r>
  <r>
    <s v="PRJ-012"/>
    <s v="Flood Control Pump Station"/>
    <x v="0"/>
    <x v="2"/>
    <x v="5"/>
    <d v="2026-07-19T00:00:00"/>
    <d v="2026-09-05T00:00:00"/>
    <x v="1"/>
    <s v="Initial design coordination"/>
    <n v="45"/>
    <x v="0"/>
  </r>
  <r>
    <s v="PRJ-013"/>
    <s v="University Laboratory Building"/>
    <x v="3"/>
    <x v="1"/>
    <x v="2"/>
    <d v="2026-07-11T00:00:00"/>
    <d v="2026-07-24T00:00:00"/>
    <x v="0"/>
    <s v="Awaiting senior engineer review"/>
    <n v="2"/>
    <x v="2"/>
  </r>
  <r>
    <s v="PRJ-014"/>
    <s v="Bridge Widening Project"/>
    <x v="2"/>
    <x v="3"/>
    <x v="0"/>
    <d v="2026-07-08T00:00:00"/>
    <d v="2026-08-18T00:00:00"/>
    <x v="3"/>
    <s v="Client requested design revisions"/>
    <n v="27"/>
    <x v="0"/>
  </r>
  <r>
    <s v="PRJ-015"/>
    <s v="Industrial Warehouse Upgrade"/>
    <x v="1"/>
    <x v="0"/>
    <x v="4"/>
    <d v="2026-07-01T00:00:00"/>
    <d v="2026-08-01T00:00:00"/>
    <x v="2"/>
    <s v="Project funding withdrawn"/>
    <n v="1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266FF9-FFD2-4B89-AA6A-255B9384B796}" name="PivotTable4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" rowHeaderCaption="Project Health">
  <location ref="B15:C18" firstHeaderRow="1" firstDataRow="1" firstDataCol="1"/>
  <pivotFields count="11">
    <pivotField dataField="1" showAll="0"/>
    <pivotField showAll="0"/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axis="axisRow" showAll="0">
      <items count="4">
        <item x="2"/>
        <item x="0"/>
        <item x="1"/>
        <item t="default"/>
      </items>
    </pivotField>
  </pivotFields>
  <rowFields count="1">
    <field x="10"/>
  </rowFields>
  <rowItems count="3">
    <i>
      <x/>
    </i>
    <i>
      <x v="1"/>
    </i>
    <i>
      <x v="2"/>
    </i>
  </rowItems>
  <colItems count="1">
    <i/>
  </colItems>
  <dataFields count="1">
    <dataField name="Count" fld="0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E2195C-3307-453F-A4AA-732CAEBF4738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8" rowHeaderCaption="Client">
  <location ref="J1:K5" firstHeaderRow="1" firstDataRow="1" firstDataCol="1"/>
  <pivotFields count="11">
    <pivotField dataField="1"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numFmtId="14" showAll="0"/>
    <pivotField numFmtId="14"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unt" fld="0" subtotal="count" baseField="2" baseItem="0"/>
  </dataField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72C236-2E2D-47B5-8894-304767A0CF25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3" rowHeaderCaption="Engineers">
  <location ref="F1:G5" firstHeaderRow="1" firstDataRow="1" firstDataCol="1"/>
  <pivotFields count="11">
    <pivotField dataField="1" showAll="0"/>
    <pivotField showAll="0"/>
    <pivotField showAll="0"/>
    <pivotField axis="axisRow" showAll="0">
      <items count="6">
        <item x="3"/>
        <item m="1" x="4"/>
        <item x="0"/>
        <item x="1"/>
        <item x="2"/>
        <item t="default"/>
      </items>
    </pivotField>
    <pivotField showAll="0"/>
    <pivotField numFmtId="14" showAll="0"/>
    <pivotField numFmtId="14"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2"/>
    </i>
    <i>
      <x v="3"/>
    </i>
    <i>
      <x v="4"/>
    </i>
  </rowItems>
  <colItems count="1">
    <i/>
  </colItems>
  <dataFields count="1">
    <dataField name="Count" fld="0" subtotal="count" baseField="3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891EC4-0AAA-441E-BE82-B8D6E7D8AD48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" rowHeaderCaption="Status">
  <location ref="B1:C7" firstHeaderRow="1" firstDataRow="1" firstDataCol="1"/>
  <pivotFields count="11">
    <pivotField dataField="1" showAll="0"/>
    <pivotField showAll="0"/>
    <pivotField showAll="0"/>
    <pivotField showAll="0"/>
    <pivotField axis="axisRow" showAll="0">
      <items count="7">
        <item x="5"/>
        <item x="1"/>
        <item x="2"/>
        <item x="0"/>
        <item x="3"/>
        <item x="4"/>
        <item t="default"/>
      </items>
    </pivotField>
    <pivotField numFmtId="14" showAll="0"/>
    <pivotField numFmtId="14"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Projects" fld="0" subtotal="count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C3C886-383F-4931-A772-DAE7795CB383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Priority">
  <location ref="F15:G19" firstHeaderRow="1" firstDataRow="1" firstDataCol="1"/>
  <pivotFields count="11">
    <pivotField dataField="1" showAll="0"/>
    <pivotField showAll="0"/>
    <pivotField showAll="0"/>
    <pivotField showAll="0"/>
    <pivotField showAll="0"/>
    <pivotField numFmtId="14" showAll="0"/>
    <pivotField numFmtId="14"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un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6766A8-45ED-4E61-9C0E-38CCCD950DB6}" name="tblProjects" displayName="tblProjects" ref="A1:N16" totalsRowShown="0" headerRowDxfId="32" dataDxfId="31">
  <autoFilter ref="A1:N16" xr:uid="{4B6766A8-45ED-4E61-9C0E-38CCCD950DB6}"/>
  <tableColumns count="14">
    <tableColumn id="1" xr3:uid="{799C4DD4-866E-4075-900D-5CA17EE6F5A1}" name="Project ID" dataDxfId="30"/>
    <tableColumn id="2" xr3:uid="{530FAA40-E8AA-4BBC-B43A-C410D56B61DC}" name="Project Name" dataDxfId="29"/>
    <tableColumn id="3" xr3:uid="{F129EFAC-725B-4402-AB5F-2833D7EE087E}" name="Client" dataDxfId="28"/>
    <tableColumn id="4" xr3:uid="{71CC6D1B-4DF3-4E86-9402-E447877E7CB6}" name="Engineer" dataDxfId="27"/>
    <tableColumn id="5" xr3:uid="{00B1EC4E-FFB7-47D3-A95E-8651AEE85398}" name="Status" dataDxfId="26"/>
    <tableColumn id="6" xr3:uid="{513D643D-56C4-44DB-9302-C7C4350759E0}" name="Start Date" dataDxfId="25"/>
    <tableColumn id="7" xr3:uid="{656818A0-C183-4F3A-8446-118C5DEEF2E9}" name="Due Date" dataDxfId="24"/>
    <tableColumn id="8" xr3:uid="{DFFF9307-5581-487A-9286-995CD3AAC853}" name="Priority" dataDxfId="23"/>
    <tableColumn id="9" xr3:uid="{818F4C91-1035-48C7-9207-1145D4B44AEF}" name="Description" dataDxfId="22"/>
    <tableColumn id="12" xr3:uid="{37069B28-4703-45E8-A74D-B431013C1301}" name="Days Remaining" dataDxfId="21">
      <calculatedColumnFormula>IF(tblProjects[[#This Row],[Due Date]]="","",tblProjects[[#This Row],[Due Date]]-TODAY())</calculatedColumnFormula>
    </tableColumn>
    <tableColumn id="13" xr3:uid="{F2D1A5EE-EB22-4520-9CCB-6B9EA0D75F2A}" name="Project Health" dataDxfId="20">
      <calculatedColumnFormula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calculatedColumnFormula>
    </tableColumn>
    <tableColumn id="11" xr3:uid="{90113038-37C4-4BA5-A39C-5F34F8D951E0}" name="Attention ID" dataDxfId="19">
      <calculatedColumnFormula>IF(OR(K2="Overdue",K2="Due Soon"),
COUNTIFS($K$2:K2,"Overdue")+COUNTIFS($K$2:K2,"Due Soon"),
"")</calculatedColumnFormula>
    </tableColumn>
    <tableColumn id="14" xr3:uid="{DB202A4C-F379-4630-A93C-43964701005A}" name="Priority Score" dataDxfId="18">
      <calculatedColumnFormula>IF(OR(E2="Completed",E2="Cancelled"),0,
IF(H2="Critical",200,
IF(H2="High",100,
IF(H2="Medium",50,10)))
+
IF(J2&lt;0,50,
IF(J2=0,40,
IF(J2=1,30,
IF(J2=2,20,
IF(J2&lt;=3,10,0)))))
+
IF(E2="For Review",20,
IF(E2="On Hold",-30,
IF(E2="Planning",-10,0)))
)</calculatedColumnFormula>
    </tableColumn>
    <tableColumn id="15" xr3:uid="{D76C0D16-3366-4C0A-96EC-285BABB6E3E4}" name="Priority Rank" dataDxfId="17">
      <calculatedColumnFormula>IF(M2=0,"",RANK(M2,$M$2:$M$1000,0))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7E604E-CD07-49BD-A8F8-9EFBB7D09575}" name="Table9" displayName="Table9" ref="AA2:AC5" totalsRowShown="0" headerRowDxfId="16" dataDxfId="15">
  <autoFilter ref="AA2:AC5" xr:uid="{7A7E604E-CD07-49BD-A8F8-9EFBB7D09575}"/>
  <tableColumns count="3">
    <tableColumn id="1" xr3:uid="{D7B550B4-6D9E-4387-90BF-06EBFEDFE8B5}" name="Project" dataDxfId="14"/>
    <tableColumn id="2" xr3:uid="{989223D3-023D-4B2D-B952-548AC34FBAE8}" name="Due Date" dataDxfId="13"/>
    <tableColumn id="3" xr3:uid="{706013F9-5759-4732-A703-03ECA7D6FBD5}" name="Days Left" dataDxfId="12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6CA9CB-5661-4E2E-BADD-EB7B228F3CB7}" name="Table11" displayName="Table11" ref="AF2:AG5" totalsRowShown="0" headerRowDxfId="11" dataDxfId="10">
  <autoFilter ref="AF2:AG5" xr:uid="{7F6CA9CB-5661-4E2E-BADD-EB7B228F3CB7}"/>
  <tableColumns count="2">
    <tableColumn id="1" xr3:uid="{4608A92A-E5DD-4E13-B36D-3C205DA759F8}" name="Project" dataDxfId="9"/>
    <tableColumn id="2" xr3:uid="{D4B85385-1BE3-43FD-AE89-FACF115480F8}" name="Reason" dataDxfId="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EA8BED-FFC5-4BE1-9251-8F1C6DC71360}" name="Table1113" displayName="Table1113" ref="AJ2:AL5" totalsRowShown="0" headerRowDxfId="7" dataDxfId="6">
  <autoFilter ref="AJ2:AL5" xr:uid="{71EA8BED-FFC5-4BE1-9251-8F1C6DC71360}"/>
  <tableColumns count="3">
    <tableColumn id="1" xr3:uid="{FA1DCDA1-1584-44EE-8353-D678D16680DD}" name="Project" dataDxfId="5">
      <calculatedColumnFormula>IFERROR(INDEX(Projects!$B$2:$B$1000,MATCH(ROW(A1),Projects!$N$2:$N$1000,0)),"")</calculatedColumnFormula>
    </tableColumn>
    <tableColumn id="2" xr3:uid="{F5E25421-EC1A-4C71-8E43-DF27C7774A10}" name="Priority" dataDxfId="4">
      <calculatedColumnFormula>IFERROR(INDEX(Projects!$H$2:$H$1000,MATCH(ROW(A1),Projects!$N$2:$N$1000,0)),"")</calculatedColumnFormula>
    </tableColumn>
    <tableColumn id="3" xr3:uid="{FD236799-02D0-4211-8F1F-883971CD48AC}" name="Days Left" dataDxfId="3">
      <calculatedColumnFormula>IFERROR(INDEX(Projects!$J$2:$J$1000,MATCH(ROW(A1),Projects!$N$2:$N$1000,0)),"")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C3B52D-4CB0-48F3-AED8-2CA8DD5294EE}" name="tblStatus" displayName="tblStatus" ref="A1:A7" totalsRowShown="0" headerRowDxfId="2" dataDxfId="1">
  <autoFilter ref="A1:A7" xr:uid="{17C3B52D-4CB0-48F3-AED8-2CA8DD5294EE}"/>
  <tableColumns count="1">
    <tableColumn id="1" xr3:uid="{242DF8A5-6485-4D15-938A-92C52694EEB6}" name="Status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D669C9-5E85-4476-89E6-AAD98D68766A}" name="tblPriority" displayName="tblPriority" ref="D1:D5" totalsRowShown="0">
  <autoFilter ref="D1:D5" xr:uid="{6ED669C9-5E85-4476-89E6-AAD98D68766A}"/>
  <tableColumns count="1">
    <tableColumn id="1" xr3:uid="{CE0C0D70-E1A8-42E4-890C-1788958E6590}" name="Priorit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8F04F6-BD76-485D-A407-4F215894A8F0}" name="tblEngineers" displayName="tblEngineers" ref="G1:G5" totalsRowShown="0">
  <autoFilter ref="G1:G5" xr:uid="{4B8F04F6-BD76-485D-A407-4F215894A8F0}"/>
  <tableColumns count="1">
    <tableColumn id="1" xr3:uid="{CEF40F61-D829-4CA8-94E2-C033C08299F1}" name="Engine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B06C38-40FE-405D-9159-92BEC12B89E9}" name="tblClients" displayName="tblClients" ref="J1:J5" totalsRowShown="0">
  <autoFilter ref="J1:J5" xr:uid="{F9B06C38-40FE-405D-9159-92BEC12B89E9}"/>
  <tableColumns count="1">
    <tableColumn id="1" xr3:uid="{7E620D39-4A64-4410-BA62-83A0340781C1}" name="Cli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F49B-1672-40DD-A558-C5E90565348C}">
  <sheetPr codeName="Sheet1">
    <pageSetUpPr fitToPage="1"/>
  </sheetPr>
  <dimension ref="A1:Y26"/>
  <sheetViews>
    <sheetView showGridLines="0" tabSelected="1" zoomScaleNormal="100" workbookViewId="0">
      <selection activeCell="V17" sqref="V17"/>
    </sheetView>
  </sheetViews>
  <sheetFormatPr defaultColWidth="10.7109375" defaultRowHeight="30" customHeight="1"/>
  <cols>
    <col min="1" max="11" width="10.7109375" style="5"/>
    <col min="12" max="12" width="10.7109375" style="5" customWidth="1"/>
    <col min="13" max="16384" width="10.7109375" style="5"/>
  </cols>
  <sheetData>
    <row r="1" spans="1:25" ht="39.950000000000003" customHeight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</row>
    <row r="2" spans="1:25" ht="30" customHeight="1"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</row>
    <row r="3" spans="1:25" ht="30" customHeight="1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U3" s="20"/>
      <c r="V3" s="20"/>
      <c r="W3" s="20"/>
      <c r="X3" s="20"/>
      <c r="Y3" s="20"/>
    </row>
    <row r="4" spans="1:25" ht="30" customHeight="1">
      <c r="F4" s="20"/>
      <c r="G4" s="20"/>
      <c r="H4" s="20"/>
      <c r="I4" s="20"/>
      <c r="J4" s="20"/>
      <c r="K4" s="20"/>
      <c r="L4" s="20"/>
      <c r="M4" s="20"/>
      <c r="N4" s="20"/>
      <c r="U4" s="20"/>
      <c r="V4" s="20"/>
      <c r="W4" s="20"/>
      <c r="X4" s="20"/>
      <c r="Y4" s="20"/>
    </row>
    <row r="5" spans="1:25" ht="30" customHeight="1">
      <c r="F5" s="20"/>
      <c r="G5" s="20"/>
      <c r="H5" s="20"/>
      <c r="I5" s="20"/>
      <c r="J5" s="20"/>
      <c r="K5" s="20"/>
      <c r="L5" s="20"/>
      <c r="M5" s="20"/>
      <c r="N5" s="20"/>
      <c r="W5" s="20"/>
      <c r="X5" s="20"/>
      <c r="Y5" s="20"/>
    </row>
    <row r="6" spans="1:25" ht="30" customHeight="1">
      <c r="F6" s="20"/>
      <c r="G6" s="20"/>
      <c r="H6" s="20"/>
      <c r="I6" s="20"/>
      <c r="J6" s="20"/>
      <c r="K6" s="20"/>
      <c r="L6" s="20"/>
      <c r="M6" s="20"/>
      <c r="N6" s="20"/>
      <c r="O6" s="21"/>
      <c r="P6" s="21"/>
      <c r="W6" s="20"/>
      <c r="X6" s="20"/>
      <c r="Y6" s="20"/>
    </row>
    <row r="7" spans="1:25" ht="30" customHeight="1">
      <c r="F7" s="20"/>
      <c r="G7" s="20"/>
      <c r="H7" s="20"/>
      <c r="I7" s="20"/>
      <c r="J7" s="20"/>
      <c r="K7" s="20"/>
      <c r="L7" s="20"/>
      <c r="M7" s="20"/>
      <c r="N7" s="20"/>
      <c r="O7" s="22"/>
      <c r="P7" s="22"/>
      <c r="W7" s="20"/>
      <c r="X7" s="20"/>
      <c r="Y7" s="20"/>
    </row>
    <row r="8" spans="1:25" ht="30" customHeight="1">
      <c r="O8" s="22"/>
      <c r="P8" s="22"/>
    </row>
    <row r="9" spans="1:25" ht="30" customHeight="1">
      <c r="O9" s="22"/>
      <c r="P9" s="22"/>
    </row>
    <row r="10" spans="1:25" ht="30" customHeight="1">
      <c r="Q10" s="22"/>
      <c r="R10" s="22"/>
    </row>
    <row r="11" spans="1:25" ht="30" customHeight="1">
      <c r="Q11" s="22"/>
      <c r="R11" s="22"/>
    </row>
    <row r="12" spans="1:25" ht="30" customHeight="1">
      <c r="Q12" s="22"/>
      <c r="R12" s="22"/>
    </row>
    <row r="13" spans="1:25" ht="30" customHeight="1">
      <c r="O13" s="22"/>
      <c r="P13" s="22"/>
    </row>
    <row r="14" spans="1:25" ht="30" customHeight="1">
      <c r="Q14" s="22"/>
      <c r="R14" s="22"/>
    </row>
    <row r="15" spans="1:25" ht="30" customHeight="1">
      <c r="Q15" s="22"/>
      <c r="R15" s="22"/>
    </row>
    <row r="16" spans="1:25" ht="30" customHeight="1">
      <c r="Q16" s="22"/>
      <c r="R16" s="22"/>
    </row>
    <row r="17" spans="4:23" ht="30" customHeight="1">
      <c r="Q17" s="22"/>
      <c r="R17" s="22"/>
    </row>
    <row r="22" spans="4:23" ht="30" customHeight="1">
      <c r="D22" s="40" t="s">
        <v>142</v>
      </c>
      <c r="E22" s="41"/>
      <c r="F22" s="41"/>
      <c r="G22" s="41"/>
      <c r="H22" s="41"/>
      <c r="I22" s="41"/>
      <c r="J22" s="36"/>
      <c r="K22" s="40" t="s">
        <v>143</v>
      </c>
      <c r="L22" s="43"/>
      <c r="M22" s="43"/>
      <c r="N22" s="43"/>
      <c r="O22" s="43"/>
      <c r="P22" s="43"/>
      <c r="R22" s="40" t="s">
        <v>146</v>
      </c>
      <c r="S22" s="43"/>
      <c r="T22" s="43"/>
      <c r="U22" s="43"/>
      <c r="V22" s="43"/>
      <c r="W22" s="43"/>
    </row>
    <row r="23" spans="4:23" ht="30" customHeight="1">
      <c r="D23" s="38" t="s">
        <v>140</v>
      </c>
      <c r="E23" s="38"/>
      <c r="F23" s="38"/>
      <c r="G23" s="38" t="s">
        <v>6</v>
      </c>
      <c r="H23" s="38"/>
      <c r="I23" s="34" t="s">
        <v>141</v>
      </c>
      <c r="J23" s="35"/>
      <c r="K23" s="38" t="s">
        <v>140</v>
      </c>
      <c r="L23" s="38"/>
      <c r="M23" s="38"/>
      <c r="N23" s="38" t="s">
        <v>144</v>
      </c>
      <c r="O23" s="38"/>
      <c r="P23" s="38"/>
      <c r="R23" s="38" t="s">
        <v>140</v>
      </c>
      <c r="S23" s="38"/>
      <c r="T23" s="38"/>
      <c r="U23" s="38" t="s">
        <v>6</v>
      </c>
      <c r="V23" s="38"/>
      <c r="W23" s="34" t="s">
        <v>141</v>
      </c>
    </row>
    <row r="24" spans="4:23" ht="30" customHeight="1">
      <c r="D24" s="39" t="str">
        <f ca="1">Calculations!AA3</f>
        <v>Steel Canopy Design</v>
      </c>
      <c r="E24" s="39"/>
      <c r="F24" s="39"/>
      <c r="G24" s="42">
        <f ca="1">Calculations!AB3</f>
        <v>46225</v>
      </c>
      <c r="H24" s="42"/>
      <c r="I24" s="32">
        <f ca="1">Calculations!AC3</f>
        <v>0</v>
      </c>
      <c r="J24" s="33"/>
      <c r="K24" s="39" t="str">
        <f ca="1">Calculations!AF3</f>
        <v>Warehouse Expansion</v>
      </c>
      <c r="L24" s="39"/>
      <c r="M24" s="39"/>
      <c r="N24" s="39" t="str">
        <f ca="1">Calculations!AG3</f>
        <v>Overdue</v>
      </c>
      <c r="O24" s="39"/>
      <c r="P24" s="39"/>
      <c r="R24" s="39" t="str">
        <f ca="1">Calculations!AJ3</f>
        <v>Commercial Building Foundation</v>
      </c>
      <c r="S24" s="39"/>
      <c r="T24" s="39"/>
      <c r="U24" s="42" t="str">
        <f ca="1">Calculations!AK3</f>
        <v>Critical</v>
      </c>
      <c r="V24" s="42"/>
      <c r="W24" s="32">
        <f ca="1">Calculations!AL3</f>
        <v>14</v>
      </c>
    </row>
    <row r="25" spans="4:23" ht="30" customHeight="1">
      <c r="D25" s="39" t="str">
        <f ca="1">Calculations!AA4</f>
        <v>University Laboratory Building</v>
      </c>
      <c r="E25" s="39"/>
      <c r="F25" s="39"/>
      <c r="G25" s="42">
        <f ca="1">Calculations!AB4</f>
        <v>46227</v>
      </c>
      <c r="H25" s="42"/>
      <c r="I25" s="32">
        <f ca="1">Calculations!AC4</f>
        <v>2</v>
      </c>
      <c r="J25" s="33"/>
      <c r="K25" s="39" t="str">
        <f ca="1">Calculations!AF4</f>
        <v>Office Building Renovation</v>
      </c>
      <c r="L25" s="39"/>
      <c r="M25" s="39"/>
      <c r="N25" s="39" t="str">
        <f ca="1">Calculations!AG4</f>
        <v>Due Soon</v>
      </c>
      <c r="O25" s="39"/>
      <c r="P25" s="39"/>
      <c r="R25" s="39" t="str">
        <f ca="1">Calculations!AJ4</f>
        <v>Steel Canopy Design</v>
      </c>
      <c r="S25" s="39"/>
      <c r="T25" s="39"/>
      <c r="U25" s="42" t="str">
        <f ca="1">Calculations!AK4</f>
        <v>High</v>
      </c>
      <c r="V25" s="42"/>
      <c r="W25" s="32">
        <f ca="1">Calculations!AL4</f>
        <v>0</v>
      </c>
    </row>
    <row r="26" spans="4:23" ht="30" customHeight="1">
      <c r="D26" s="39" t="str">
        <f ca="1">Calculations!AA5</f>
        <v>Office Building Renovation</v>
      </c>
      <c r="E26" s="39"/>
      <c r="F26" s="39"/>
      <c r="G26" s="42">
        <f ca="1">Calculations!AB5</f>
        <v>46228</v>
      </c>
      <c r="H26" s="42"/>
      <c r="I26" s="32">
        <f ca="1">Calculations!AC5</f>
        <v>3</v>
      </c>
      <c r="J26" s="33"/>
      <c r="K26" s="39" t="str">
        <f ca="1">Calculations!AF5</f>
        <v>Steel Canopy Design</v>
      </c>
      <c r="L26" s="39"/>
      <c r="M26" s="39"/>
      <c r="N26" s="39" t="str">
        <f ca="1">Calculations!AG5</f>
        <v>Due Soon</v>
      </c>
      <c r="O26" s="39"/>
      <c r="P26" s="39"/>
      <c r="R26" s="39" t="str">
        <f ca="1">Calculations!AJ5</f>
        <v>University Laboratory Building</v>
      </c>
      <c r="S26" s="39"/>
      <c r="T26" s="39"/>
      <c r="U26" s="42" t="str">
        <f ca="1">Calculations!AK5</f>
        <v>High</v>
      </c>
      <c r="V26" s="42"/>
      <c r="W26" s="32">
        <f ca="1">Calculations!AL5</f>
        <v>2</v>
      </c>
    </row>
  </sheetData>
  <mergeCells count="28">
    <mergeCell ref="R25:T25"/>
    <mergeCell ref="U25:V25"/>
    <mergeCell ref="R26:T26"/>
    <mergeCell ref="U26:V26"/>
    <mergeCell ref="N25:P25"/>
    <mergeCell ref="N26:P26"/>
    <mergeCell ref="K25:M25"/>
    <mergeCell ref="K26:M26"/>
    <mergeCell ref="G26:H26"/>
    <mergeCell ref="D26:F26"/>
    <mergeCell ref="G25:H25"/>
    <mergeCell ref="D25:F25"/>
    <mergeCell ref="B2:Y2"/>
    <mergeCell ref="K23:M23"/>
    <mergeCell ref="K24:M24"/>
    <mergeCell ref="D22:I22"/>
    <mergeCell ref="G24:H24"/>
    <mergeCell ref="D24:F24"/>
    <mergeCell ref="G23:H23"/>
    <mergeCell ref="D23:F23"/>
    <mergeCell ref="K22:P22"/>
    <mergeCell ref="N23:P23"/>
    <mergeCell ref="N24:P24"/>
    <mergeCell ref="R22:W22"/>
    <mergeCell ref="R23:T23"/>
    <mergeCell ref="U23:V23"/>
    <mergeCell ref="R24:T24"/>
    <mergeCell ref="U24:V24"/>
  </mergeCells>
  <conditionalFormatting sqref="N24:P26">
    <cfRule type="cellIs" dxfId="48" priority="6" operator="equal">
      <formula>"Overdue"</formula>
    </cfRule>
    <cfRule type="cellIs" dxfId="47" priority="5" operator="equal">
      <formula>"Due Soon"</formula>
    </cfRule>
  </conditionalFormatting>
  <conditionalFormatting sqref="U24:V26">
    <cfRule type="cellIs" dxfId="46" priority="2" operator="equal">
      <formula>"Critical"</formula>
    </cfRule>
    <cfRule type="cellIs" dxfId="45" priority="1" operator="equal">
      <formula>"High"</formula>
    </cfRule>
  </conditionalFormatting>
  <printOptions horizontalCentered="1" verticalCentered="1"/>
  <pageMargins left="0.3" right="0.3" top="0.3" bottom="0.3" header="0.3" footer="0.3"/>
  <pageSetup paperSize="8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port">
                <anchor moveWithCells="1" sizeWithCells="1">
                  <from>
                    <xdr:col>17</xdr:col>
                    <xdr:colOff>0</xdr:colOff>
                    <xdr:row>0</xdr:row>
                    <xdr:rowOff>76200</xdr:rowOff>
                  </from>
                  <to>
                    <xdr:col>18</xdr:col>
                    <xdr:colOff>409575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8D648-1398-4BFD-95E1-7FF4628A6C3F}">
  <sheetPr codeName="Sheet2"/>
  <dimension ref="A1:N16"/>
  <sheetViews>
    <sheetView topLeftCell="C1" workbookViewId="0">
      <selection activeCell="H23" sqref="H23"/>
    </sheetView>
  </sheetViews>
  <sheetFormatPr defaultRowHeight="16.5" customHeight="1"/>
  <cols>
    <col min="1" max="1" width="14.140625" bestFit="1" customWidth="1"/>
    <col min="2" max="2" width="31.7109375" bestFit="1" customWidth="1"/>
    <col min="3" max="3" width="19.5703125" bestFit="1" customWidth="1"/>
    <col min="4" max="4" width="29.28515625" customWidth="1"/>
    <col min="5" max="5" width="11" bestFit="1" customWidth="1"/>
    <col min="6" max="6" width="14.28515625" bestFit="1" customWidth="1"/>
    <col min="7" max="7" width="13.7109375" bestFit="1" customWidth="1"/>
    <col min="8" max="8" width="12.140625" bestFit="1" customWidth="1"/>
    <col min="9" max="9" width="42" customWidth="1"/>
    <col min="10" max="10" width="19.7109375" bestFit="1" customWidth="1"/>
    <col min="11" max="11" width="18.28515625" bestFit="1" customWidth="1"/>
    <col min="12" max="12" width="16.28515625" customWidth="1"/>
    <col min="13" max="13" width="21.140625" customWidth="1"/>
    <col min="14" max="14" width="17.5703125" customWidth="1"/>
  </cols>
  <sheetData>
    <row r="1" spans="1:14" ht="16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45</v>
      </c>
      <c r="K1" s="1" t="s">
        <v>46</v>
      </c>
      <c r="L1" s="1" t="s">
        <v>145</v>
      </c>
      <c r="M1" s="1" t="s">
        <v>147</v>
      </c>
      <c r="N1" s="1" t="s">
        <v>148</v>
      </c>
    </row>
    <row r="2" spans="1:14" ht="16.5" customHeight="1">
      <c r="A2" s="3" t="s">
        <v>30</v>
      </c>
      <c r="B2" s="3" t="s">
        <v>31</v>
      </c>
      <c r="C2" s="3" t="s">
        <v>27</v>
      </c>
      <c r="D2" s="3" t="s">
        <v>65</v>
      </c>
      <c r="E2" s="3" t="s">
        <v>22</v>
      </c>
      <c r="F2" s="4">
        <v>46204</v>
      </c>
      <c r="G2" s="4">
        <v>46249</v>
      </c>
      <c r="H2" s="3" t="s">
        <v>25</v>
      </c>
      <c r="I2" s="3" t="s">
        <v>32</v>
      </c>
      <c r="J2" s="3">
        <f ca="1">IF(tblProjects[[#This Row],[Due Date]]="","",tblProjects[[#This Row],[Due Date]]-TODAY())</f>
        <v>24</v>
      </c>
      <c r="K2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2" s="3" t="str">
        <f>IF(OR(K2="Overdue",K2="Due Soon"),
COUNTIFS($K$2:K2,"Overdue")+COUNTIFS($K$2:K2,"Due Soon"),
"")</f>
        <v/>
      </c>
      <c r="M2" s="3">
        <f>IF(OR(E2="Completed",E2="Cancelled"),0,
IF(H2="Critical",200,
IF(H2="High",100,
IF(H2="Medium",50,10)))
+
IF(J2&lt;0,50,
IF(J2=0,40,
IF(J2=1,30,
IF(J2=2,20,
IF(J2&lt;=3,10,0)))))
+
IF(E2="For Review",20,
IF(E2="On Hold",-30,
IF(E2="Planning",-10,0)))
)</f>
        <v>0</v>
      </c>
      <c r="N2" s="3" t="str">
        <f t="shared" ref="N2:N16" si="0">IF(M2=0,"",RANK(M2,$M$2:$M$1000,0))</f>
        <v/>
      </c>
    </row>
    <row r="3" spans="1:14" ht="16.5" customHeight="1">
      <c r="A3" s="3" t="s">
        <v>33</v>
      </c>
      <c r="B3" s="3" t="s">
        <v>34</v>
      </c>
      <c r="C3" s="3" t="s">
        <v>28</v>
      </c>
      <c r="D3" s="3" t="s">
        <v>41</v>
      </c>
      <c r="E3" s="3" t="s">
        <v>20</v>
      </c>
      <c r="F3" s="4">
        <v>46213</v>
      </c>
      <c r="G3" s="4">
        <v>46221</v>
      </c>
      <c r="H3" s="3" t="s">
        <v>24</v>
      </c>
      <c r="I3" s="3" t="s">
        <v>35</v>
      </c>
      <c r="J3" s="3">
        <f ca="1">IF(tblProjects[[#This Row],[Due Date]]="","",tblProjects[[#This Row],[Due Date]]-TODAY())</f>
        <v>-4</v>
      </c>
      <c r="K3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Overdue</v>
      </c>
      <c r="L3" s="3">
        <f ca="1">IF(OR(K3="Overdue",K3="Due Soon"),
COUNTIFS($K$2:K3,"Overdue")+COUNTIFS($K$2:K3,"Due Soon"),
"")</f>
        <v>1</v>
      </c>
      <c r="M3" s="3">
        <f t="shared" ref="M3:M16" ca="1" si="1">IF(OR(E3="Completed",E3="Cancelled"),0,
IF(H3="Critical",200,
IF(H3="High",100,
IF(H3="Medium",50,10)))
+
IF(J3&lt;0,50,
IF(J3=0,40,
IF(J3=1,30,
IF(J3=2,20,
IF(J3&lt;=3,10,0)))))
+
IF(E3="For Review",20,
IF(E3="On Hold",-30,
IF(E3="Planning",-10,0)))
)</f>
        <v>100</v>
      </c>
      <c r="N3" s="3">
        <f t="shared" ca="1" si="0"/>
        <v>5</v>
      </c>
    </row>
    <row r="4" spans="1:14" ht="16.5" customHeight="1">
      <c r="A4" s="3" t="s">
        <v>36</v>
      </c>
      <c r="B4" s="3" t="s">
        <v>37</v>
      </c>
      <c r="C4" s="3" t="s">
        <v>29</v>
      </c>
      <c r="D4" s="3" t="s">
        <v>42</v>
      </c>
      <c r="E4" s="3" t="s">
        <v>21</v>
      </c>
      <c r="F4" s="4">
        <v>46193</v>
      </c>
      <c r="G4" s="4">
        <v>46228</v>
      </c>
      <c r="H4" s="3" t="s">
        <v>25</v>
      </c>
      <c r="I4" s="3" t="s">
        <v>38</v>
      </c>
      <c r="J4" s="3">
        <f ca="1">IF(tblProjects[[#This Row],[Due Date]]="","",tblProjects[[#This Row],[Due Date]]-TODAY())</f>
        <v>3</v>
      </c>
      <c r="K4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Due Soon</v>
      </c>
      <c r="L4" s="3">
        <f ca="1">IF(OR(K4="Overdue",K4="Due Soon"),
COUNTIFS($K$2:K4,"Overdue")+COUNTIFS($K$2:K4,"Due Soon"),
"")</f>
        <v>2</v>
      </c>
      <c r="M4" s="3">
        <f t="shared" ca="1" si="1"/>
        <v>130</v>
      </c>
      <c r="N4" s="3">
        <f t="shared" ca="1" si="0"/>
        <v>4</v>
      </c>
    </row>
    <row r="5" spans="1:14" ht="16.5" customHeight="1">
      <c r="A5" s="3" t="s">
        <v>47</v>
      </c>
      <c r="B5" s="3" t="s">
        <v>48</v>
      </c>
      <c r="C5" s="3" t="s">
        <v>44</v>
      </c>
      <c r="D5" s="3" t="s">
        <v>65</v>
      </c>
      <c r="E5" s="3" t="s">
        <v>22</v>
      </c>
      <c r="F5" s="4">
        <v>46208</v>
      </c>
      <c r="G5" s="4">
        <v>46218</v>
      </c>
      <c r="H5" s="3" t="s">
        <v>24</v>
      </c>
      <c r="I5" s="3" t="s">
        <v>49</v>
      </c>
      <c r="J5" s="3">
        <f ca="1">IF(tblProjects[[#This Row],[Due Date]]="","",tblProjects[[#This Row],[Due Date]]-TODAY())</f>
        <v>-7</v>
      </c>
      <c r="K5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5" s="3" t="str">
        <f>IF(OR(K5="Overdue",K5="Due Soon"),
COUNTIFS($K$2:K5,"Overdue")+COUNTIFS($K$2:K5,"Due Soon"),
"")</f>
        <v/>
      </c>
      <c r="M5" s="3">
        <f t="shared" si="1"/>
        <v>0</v>
      </c>
      <c r="N5" s="3" t="str">
        <f t="shared" si="0"/>
        <v/>
      </c>
    </row>
    <row r="6" spans="1:14" ht="16.5" customHeight="1">
      <c r="A6" s="3" t="s">
        <v>50</v>
      </c>
      <c r="B6" s="3" t="s">
        <v>51</v>
      </c>
      <c r="C6" s="3" t="s">
        <v>27</v>
      </c>
      <c r="D6" s="3" t="s">
        <v>41</v>
      </c>
      <c r="E6" s="3" t="s">
        <v>39</v>
      </c>
      <c r="F6" s="4">
        <v>46218</v>
      </c>
      <c r="G6" s="4">
        <v>46244</v>
      </c>
      <c r="H6" s="3" t="s">
        <v>25</v>
      </c>
      <c r="I6" s="3" t="s">
        <v>52</v>
      </c>
      <c r="J6" s="3">
        <f ca="1">IF(tblProjects[[#This Row],[Due Date]]="","",tblProjects[[#This Row],[Due Date]]-TODAY())</f>
        <v>19</v>
      </c>
      <c r="K6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Hold</v>
      </c>
      <c r="L6" s="3" t="str">
        <f>IF(OR(K6="Overdue",K6="Due Soon"),
COUNTIFS($K$2:K6,"Overdue")+COUNTIFS($K$2:K6,"Due Soon"),
"")</f>
        <v/>
      </c>
      <c r="M6" s="3">
        <f t="shared" ca="1" si="1"/>
        <v>70</v>
      </c>
      <c r="N6" s="3">
        <f t="shared" ca="1" si="0"/>
        <v>7</v>
      </c>
    </row>
    <row r="7" spans="1:14" ht="16.5" customHeight="1">
      <c r="A7" s="3" t="s">
        <v>53</v>
      </c>
      <c r="B7" s="3" t="s">
        <v>54</v>
      </c>
      <c r="C7" s="3" t="s">
        <v>28</v>
      </c>
      <c r="D7" s="3" t="s">
        <v>42</v>
      </c>
      <c r="E7" s="3" t="s">
        <v>40</v>
      </c>
      <c r="F7" s="4">
        <v>46205</v>
      </c>
      <c r="G7" s="4">
        <v>46233</v>
      </c>
      <c r="H7" s="3" t="s">
        <v>23</v>
      </c>
      <c r="I7" s="3" t="s">
        <v>55</v>
      </c>
      <c r="J7" s="3">
        <f ca="1">IF(tblProjects[[#This Row],[Due Date]]="","",tblProjects[[#This Row],[Due Date]]-TODAY())</f>
        <v>8</v>
      </c>
      <c r="K7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Cancelled</v>
      </c>
      <c r="L7" s="3" t="str">
        <f>IF(OR(K7="Overdue",K7="Due Soon"),
COUNTIFS($K$2:K7,"Overdue")+COUNTIFS($K$2:K7,"Due Soon"),
"")</f>
        <v/>
      </c>
      <c r="M7" s="3">
        <f t="shared" si="1"/>
        <v>0</v>
      </c>
      <c r="N7" s="3" t="str">
        <f t="shared" si="0"/>
        <v/>
      </c>
    </row>
    <row r="8" spans="1:14" ht="16.5" customHeight="1">
      <c r="A8" s="3" t="s">
        <v>56</v>
      </c>
      <c r="B8" s="3" t="s">
        <v>57</v>
      </c>
      <c r="C8" s="3" t="s">
        <v>29</v>
      </c>
      <c r="D8" s="3" t="s">
        <v>43</v>
      </c>
      <c r="E8" s="3" t="s">
        <v>20</v>
      </c>
      <c r="F8" s="4">
        <v>46219</v>
      </c>
      <c r="G8" s="4">
        <v>46239</v>
      </c>
      <c r="H8" s="3" t="s">
        <v>26</v>
      </c>
      <c r="I8" s="3" t="s">
        <v>58</v>
      </c>
      <c r="J8" s="3">
        <f ca="1">IF(tblProjects[[#This Row],[Due Date]]="","",tblProjects[[#This Row],[Due Date]]-TODAY())</f>
        <v>14</v>
      </c>
      <c r="K8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Track</v>
      </c>
      <c r="L8" s="3" t="str">
        <f ca="1">IF(OR(K8="Overdue",K8="Due Soon"),
COUNTIFS($K$2:K8,"Overdue")+COUNTIFS($K$2:K8,"Due Soon"),
"")</f>
        <v/>
      </c>
      <c r="M8" s="3">
        <f t="shared" ca="1" si="1"/>
        <v>200</v>
      </c>
      <c r="N8" s="3">
        <f t="shared" ca="1" si="0"/>
        <v>1</v>
      </c>
    </row>
    <row r="9" spans="1:14" ht="16.5" customHeight="1">
      <c r="A9" s="3" t="s">
        <v>59</v>
      </c>
      <c r="B9" s="3" t="s">
        <v>60</v>
      </c>
      <c r="C9" s="3" t="s">
        <v>44</v>
      </c>
      <c r="D9" s="3" t="s">
        <v>65</v>
      </c>
      <c r="E9" s="3" t="s">
        <v>19</v>
      </c>
      <c r="F9" s="4">
        <v>46221</v>
      </c>
      <c r="G9" s="4">
        <v>46254</v>
      </c>
      <c r="H9" s="3" t="s">
        <v>24</v>
      </c>
      <c r="I9" s="3" t="s">
        <v>61</v>
      </c>
      <c r="J9" s="3">
        <f ca="1">IF(tblProjects[[#This Row],[Due Date]]="","",tblProjects[[#This Row],[Due Date]]-TODAY())</f>
        <v>29</v>
      </c>
      <c r="K9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Track</v>
      </c>
      <c r="L9" s="3" t="str">
        <f ca="1">IF(OR(K9="Overdue",K9="Due Soon"),
COUNTIFS($K$2:K9,"Overdue")+COUNTIFS($K$2:K9,"Due Soon"),
"")</f>
        <v/>
      </c>
      <c r="M9" s="3">
        <f t="shared" ca="1" si="1"/>
        <v>40</v>
      </c>
      <c r="N9" s="3">
        <f t="shared" ca="1" si="0"/>
        <v>8</v>
      </c>
    </row>
    <row r="10" spans="1:14" ht="16.5" customHeight="1">
      <c r="A10" s="3" t="s">
        <v>62</v>
      </c>
      <c r="B10" s="3" t="s">
        <v>63</v>
      </c>
      <c r="C10" s="3" t="s">
        <v>27</v>
      </c>
      <c r="D10" s="3" t="s">
        <v>41</v>
      </c>
      <c r="E10" s="3" t="s">
        <v>21</v>
      </c>
      <c r="F10" s="4">
        <v>46213</v>
      </c>
      <c r="G10" s="4">
        <v>46225</v>
      </c>
      <c r="H10" s="3" t="s">
        <v>25</v>
      </c>
      <c r="I10" s="3" t="s">
        <v>64</v>
      </c>
      <c r="J10" s="3">
        <f ca="1">IF(tblProjects[[#This Row],[Due Date]]="","",tblProjects[[#This Row],[Due Date]]-TODAY())</f>
        <v>0</v>
      </c>
      <c r="K10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Due Soon</v>
      </c>
      <c r="L10" s="3">
        <f ca="1">IF(OR(K10="Overdue",K10="Due Soon"),
COUNTIFS($K$2:K10,"Overdue")+COUNTIFS($K$2:K10,"Due Soon"),
"")</f>
        <v>3</v>
      </c>
      <c r="M10" s="3">
        <f t="shared" ca="1" si="1"/>
        <v>160</v>
      </c>
      <c r="N10" s="3">
        <f t="shared" ca="1" si="0"/>
        <v>2</v>
      </c>
    </row>
    <row r="11" spans="1:14" ht="16.5" customHeight="1">
      <c r="A11" s="3" t="s">
        <v>66</v>
      </c>
      <c r="B11" s="3" t="s">
        <v>67</v>
      </c>
      <c r="C11" s="3" t="s">
        <v>29</v>
      </c>
      <c r="D11" s="3" t="s">
        <v>43</v>
      </c>
      <c r="E11" s="3" t="s">
        <v>22</v>
      </c>
      <c r="F11" s="4">
        <v>46188</v>
      </c>
      <c r="G11" s="4">
        <v>46215</v>
      </c>
      <c r="H11" s="3" t="s">
        <v>26</v>
      </c>
      <c r="I11" s="3" t="s">
        <v>68</v>
      </c>
      <c r="J11" s="3">
        <f ca="1">IF(tblProjects[[#This Row],[Due Date]]="","",tblProjects[[#This Row],[Due Date]]-TODAY())</f>
        <v>-10</v>
      </c>
      <c r="K11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11" s="3" t="str">
        <f>IF(OR(K11="Overdue",K11="Due Soon"),
COUNTIFS($K$2:K11,"Overdue")+COUNTIFS($K$2:K11,"Due Soon"),
"")</f>
        <v/>
      </c>
      <c r="M11" s="3">
        <f t="shared" si="1"/>
        <v>0</v>
      </c>
      <c r="N11" s="3" t="str">
        <f t="shared" si="0"/>
        <v/>
      </c>
    </row>
    <row r="12" spans="1:14" ht="16.5" customHeight="1">
      <c r="A12" s="3" t="s">
        <v>69</v>
      </c>
      <c r="B12" s="3" t="s">
        <v>70</v>
      </c>
      <c r="C12" s="3" t="s">
        <v>28</v>
      </c>
      <c r="D12" s="3" t="s">
        <v>65</v>
      </c>
      <c r="E12" s="3" t="s">
        <v>20</v>
      </c>
      <c r="F12" s="4">
        <v>46221</v>
      </c>
      <c r="G12" s="4">
        <v>46262</v>
      </c>
      <c r="H12" s="3" t="s">
        <v>25</v>
      </c>
      <c r="I12" s="3" t="s">
        <v>71</v>
      </c>
      <c r="J12" s="3">
        <f ca="1">IF(tblProjects[[#This Row],[Due Date]]="","",tblProjects[[#This Row],[Due Date]]-TODAY())</f>
        <v>37</v>
      </c>
      <c r="K12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Track</v>
      </c>
      <c r="L12" s="3" t="str">
        <f ca="1">IF(OR(K12="Overdue",K12="Due Soon"),
COUNTIFS($K$2:K12,"Overdue")+COUNTIFS($K$2:K12,"Due Soon"),
"")</f>
        <v/>
      </c>
      <c r="M12" s="3">
        <f t="shared" ca="1" si="1"/>
        <v>100</v>
      </c>
      <c r="N12" s="3">
        <f t="shared" ca="1" si="0"/>
        <v>5</v>
      </c>
    </row>
    <row r="13" spans="1:14" ht="16.5" customHeight="1">
      <c r="A13" s="3" t="s">
        <v>72</v>
      </c>
      <c r="B13" s="3" t="s">
        <v>73</v>
      </c>
      <c r="C13" s="3" t="s">
        <v>27</v>
      </c>
      <c r="D13" s="3" t="s">
        <v>42</v>
      </c>
      <c r="E13" s="3" t="s">
        <v>19</v>
      </c>
      <c r="F13" s="4">
        <v>46222</v>
      </c>
      <c r="G13" s="4">
        <v>46270</v>
      </c>
      <c r="H13" s="3" t="s">
        <v>24</v>
      </c>
      <c r="I13" s="3" t="s">
        <v>74</v>
      </c>
      <c r="J13" s="3">
        <f ca="1">IF(tblProjects[[#This Row],[Due Date]]="","",tblProjects[[#This Row],[Due Date]]-TODAY())</f>
        <v>45</v>
      </c>
      <c r="K13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Track</v>
      </c>
      <c r="L13" s="3" t="str">
        <f ca="1">IF(OR(K13="Overdue",K13="Due Soon"),
COUNTIFS($K$2:K13,"Overdue")+COUNTIFS($K$2:K13,"Due Soon"),
"")</f>
        <v/>
      </c>
      <c r="M13" s="3">
        <f t="shared" ca="1" si="1"/>
        <v>40</v>
      </c>
      <c r="N13" s="3">
        <f t="shared" ca="1" si="0"/>
        <v>8</v>
      </c>
    </row>
    <row r="14" spans="1:14" ht="16.5" customHeight="1">
      <c r="A14" s="3" t="s">
        <v>75</v>
      </c>
      <c r="B14" s="3" t="s">
        <v>76</v>
      </c>
      <c r="C14" s="3" t="s">
        <v>44</v>
      </c>
      <c r="D14" s="3" t="s">
        <v>41</v>
      </c>
      <c r="E14" s="3" t="s">
        <v>21</v>
      </c>
      <c r="F14" s="4">
        <v>46214</v>
      </c>
      <c r="G14" s="4">
        <v>46227</v>
      </c>
      <c r="H14" s="3" t="s">
        <v>25</v>
      </c>
      <c r="I14" s="3" t="s">
        <v>77</v>
      </c>
      <c r="J14" s="3">
        <f ca="1">IF(tblProjects[[#This Row],[Due Date]]="","",tblProjects[[#This Row],[Due Date]]-TODAY())</f>
        <v>2</v>
      </c>
      <c r="K14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Due Soon</v>
      </c>
      <c r="L14" s="3">
        <f ca="1">IF(OR(K14="Overdue",K14="Due Soon"),
COUNTIFS($K$2:K14,"Overdue")+COUNTIFS($K$2:K14,"Due Soon"),
"")</f>
        <v>4</v>
      </c>
      <c r="M14" s="3">
        <f t="shared" ca="1" si="1"/>
        <v>140</v>
      </c>
      <c r="N14" s="3">
        <f t="shared" ca="1" si="0"/>
        <v>3</v>
      </c>
    </row>
    <row r="15" spans="1:14" ht="16.5" customHeight="1">
      <c r="A15" s="3" t="s">
        <v>78</v>
      </c>
      <c r="B15" s="3" t="s">
        <v>79</v>
      </c>
      <c r="C15" s="3" t="s">
        <v>29</v>
      </c>
      <c r="D15" s="3" t="s">
        <v>43</v>
      </c>
      <c r="E15" s="3" t="s">
        <v>22</v>
      </c>
      <c r="F15" s="4">
        <v>46211</v>
      </c>
      <c r="G15" s="4">
        <v>46252</v>
      </c>
      <c r="H15" s="3" t="s">
        <v>26</v>
      </c>
      <c r="I15" s="3" t="s">
        <v>80</v>
      </c>
      <c r="J15" s="3">
        <f ca="1">IF(tblProjects[[#This Row],[Due Date]]="","",tblProjects[[#This Row],[Due Date]]-TODAY())</f>
        <v>27</v>
      </c>
      <c r="K15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15" s="3" t="str">
        <f>IF(OR(K15="Overdue",K15="Due Soon"),
COUNTIFS($K$2:K15,"Overdue")+COUNTIFS($K$2:K15,"Due Soon"),
"")</f>
        <v/>
      </c>
      <c r="M15" s="3">
        <f t="shared" si="1"/>
        <v>0</v>
      </c>
      <c r="N15" s="3" t="str">
        <f t="shared" si="0"/>
        <v/>
      </c>
    </row>
    <row r="16" spans="1:14" ht="16.5" customHeight="1">
      <c r="A16" s="3" t="s">
        <v>81</v>
      </c>
      <c r="B16" s="3" t="s">
        <v>82</v>
      </c>
      <c r="C16" s="3" t="s">
        <v>28</v>
      </c>
      <c r="D16" s="3" t="s">
        <v>65</v>
      </c>
      <c r="E16" s="3" t="s">
        <v>40</v>
      </c>
      <c r="F16" s="4">
        <v>46204</v>
      </c>
      <c r="G16" s="4">
        <v>46235</v>
      </c>
      <c r="H16" s="3" t="s">
        <v>23</v>
      </c>
      <c r="I16" s="3" t="s">
        <v>83</v>
      </c>
      <c r="J16" s="3">
        <f ca="1">IF(tblProjects[[#This Row],[Due Date]]="","",tblProjects[[#This Row],[Due Date]]-TODAY())</f>
        <v>10</v>
      </c>
      <c r="K16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Cancelled</v>
      </c>
      <c r="L16" s="3" t="str">
        <f>IF(OR(K16="Overdue",K16="Due Soon"),
COUNTIFS($K$2:K16,"Overdue")+COUNTIFS($K$2:K16,"Due Soon"),
"")</f>
        <v/>
      </c>
      <c r="M16" s="3">
        <f t="shared" si="1"/>
        <v>0</v>
      </c>
      <c r="N16" s="3" t="str">
        <f t="shared" si="0"/>
        <v/>
      </c>
    </row>
  </sheetData>
  <conditionalFormatting sqref="E2:E1000">
    <cfRule type="expression" dxfId="44" priority="4">
      <formula>$E2="On Hold"</formula>
    </cfRule>
    <cfRule type="expression" dxfId="43" priority="5">
      <formula>$E2="Cancelled"</formula>
    </cfRule>
    <cfRule type="expression" dxfId="42" priority="6">
      <formula>$E2="Planning"</formula>
    </cfRule>
    <cfRule type="expression" dxfId="41" priority="7">
      <formula>$E2="In Progress"</formula>
    </cfRule>
    <cfRule type="expression" dxfId="40" priority="8">
      <formula>$E2="For Review"</formula>
    </cfRule>
    <cfRule type="expression" dxfId="39" priority="10">
      <formula>$E2="Completed"</formula>
    </cfRule>
  </conditionalFormatting>
  <conditionalFormatting sqref="K2:K1000">
    <cfRule type="containsText" dxfId="38" priority="11" operator="containsText" text="Overdue">
      <formula>NOT(ISERROR(SEARCH("Overdue",K2)))</formula>
    </cfRule>
    <cfRule type="containsText" dxfId="37" priority="12" operator="containsText" text="Due Soon">
      <formula>NOT(ISERROR(SEARCH("Due Soon",K2)))</formula>
    </cfRule>
    <cfRule type="containsText" dxfId="36" priority="13" operator="containsText" text="On Track">
      <formula>NOT(ISERROR(SEARCH("On Track",K2)))</formula>
    </cfRule>
    <cfRule type="cellIs" dxfId="35" priority="2" operator="equal">
      <formula>"On Hold"</formula>
    </cfRule>
    <cfRule type="cellIs" dxfId="34" priority="3" operator="equal">
      <formula>"Completed"</formula>
    </cfRule>
    <cfRule type="cellIs" dxfId="33" priority="1" operator="equal">
      <formula>"Cancelled"</formula>
    </cfRule>
  </conditionalFormatting>
  <dataValidations count="4">
    <dataValidation type="list" allowBlank="1" showInputMessage="1" showErrorMessage="1" sqref="C2:C16" xr:uid="{914AFF6F-7DEA-4E1C-9916-F812916D49FB}">
      <formula1>ClientList</formula1>
    </dataValidation>
    <dataValidation type="list" allowBlank="1" showInputMessage="1" showErrorMessage="1" sqref="D2:D16" xr:uid="{20F5943C-7F5F-4927-B79C-97DFF11500E1}">
      <formula1>EngineerList</formula1>
    </dataValidation>
    <dataValidation type="list" allowBlank="1" showInputMessage="1" showErrorMessage="1" sqref="E2:E16" xr:uid="{17E3F734-495D-4F07-883B-D59B3A2B316E}">
      <formula1>StatusList</formula1>
    </dataValidation>
    <dataValidation type="list" allowBlank="1" showInputMessage="1" showErrorMessage="1" sqref="H2:H16" xr:uid="{F62886FC-FD95-482C-AE02-F64E7BB225E7}">
      <formula1>PriorityList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96D4-0ECA-4D1D-A998-A427AC00AE0D}">
  <sheetPr codeName="Sheet3"/>
  <dimension ref="A1:H1"/>
  <sheetViews>
    <sheetView workbookViewId="0">
      <selection activeCell="G32" sqref="G32"/>
    </sheetView>
  </sheetViews>
  <sheetFormatPr defaultRowHeight="15"/>
  <cols>
    <col min="1" max="1" width="11.85546875" bestFit="1" customWidth="1"/>
    <col min="2" max="2" width="9.5703125" bestFit="1" customWidth="1"/>
    <col min="3" max="3" width="16" bestFit="1" customWidth="1"/>
    <col min="4" max="4" width="15" bestFit="1" customWidth="1"/>
    <col min="5" max="5" width="6.42578125" bestFit="1" customWidth="1"/>
    <col min="6" max="6" width="15" bestFit="1" customWidth="1"/>
    <col min="7" max="7" width="12.42578125" bestFit="1" customWidth="1"/>
    <col min="8" max="8" width="8.5703125" bestFit="1" customWidth="1"/>
  </cols>
  <sheetData>
    <row r="1" spans="1:8">
      <c r="A1" s="2" t="s">
        <v>9</v>
      </c>
      <c r="B1" s="2" t="s">
        <v>0</v>
      </c>
      <c r="C1" s="2" t="s">
        <v>10</v>
      </c>
      <c r="D1" s="2" t="s">
        <v>11</v>
      </c>
      <c r="E1" s="2" t="s">
        <v>4</v>
      </c>
      <c r="F1" s="2" t="s">
        <v>12</v>
      </c>
      <c r="G1" s="2" t="s">
        <v>13</v>
      </c>
      <c r="H1" s="2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D89E-201A-4397-9D86-927479B9AAEE}">
  <sheetPr codeName="Sheet4"/>
  <dimension ref="A1:AL98"/>
  <sheetViews>
    <sheetView topLeftCell="W1" workbookViewId="0">
      <selection activeCell="AF27" sqref="AF27"/>
    </sheetView>
  </sheetViews>
  <sheetFormatPr defaultRowHeight="15"/>
  <cols>
    <col min="1" max="7" width="18.5703125" customWidth="1"/>
    <col min="27" max="27" width="30.7109375" customWidth="1"/>
    <col min="28" max="29" width="16.140625" customWidth="1"/>
    <col min="30" max="31" width="7.140625" customWidth="1"/>
    <col min="32" max="32" width="30.7109375" customWidth="1"/>
    <col min="33" max="33" width="16.140625" customWidth="1"/>
    <col min="34" max="35" width="7.140625" customWidth="1"/>
    <col min="36" max="36" width="30.7109375" customWidth="1"/>
    <col min="37" max="38" width="17.42578125" customWidth="1"/>
  </cols>
  <sheetData>
    <row r="1" spans="1:38">
      <c r="A1" s="2" t="s">
        <v>15</v>
      </c>
      <c r="B1" s="2" t="s">
        <v>0</v>
      </c>
      <c r="C1" s="2" t="s">
        <v>16</v>
      </c>
      <c r="D1" s="2" t="s">
        <v>17</v>
      </c>
      <c r="E1" s="2" t="s">
        <v>4</v>
      </c>
      <c r="F1" s="2" t="s">
        <v>18</v>
      </c>
      <c r="G1" s="2" t="s">
        <v>14</v>
      </c>
      <c r="AA1" s="44" t="s">
        <v>142</v>
      </c>
      <c r="AB1" s="44"/>
      <c r="AC1" s="44"/>
      <c r="AF1" s="45" t="s">
        <v>143</v>
      </c>
      <c r="AG1" s="46"/>
      <c r="AJ1" s="47" t="s">
        <v>146</v>
      </c>
      <c r="AK1" s="48"/>
      <c r="AL1" s="48"/>
    </row>
    <row r="2" spans="1:38">
      <c r="AA2" s="28" t="s">
        <v>140</v>
      </c>
      <c r="AB2" s="28" t="s">
        <v>6</v>
      </c>
      <c r="AC2" s="29" t="s">
        <v>141</v>
      </c>
      <c r="AD2" s="29"/>
      <c r="AE2" s="29"/>
      <c r="AF2" s="29" t="s">
        <v>140</v>
      </c>
      <c r="AG2" s="29" t="s">
        <v>144</v>
      </c>
      <c r="AJ2" s="29" t="s">
        <v>140</v>
      </c>
      <c r="AK2" s="29" t="s">
        <v>7</v>
      </c>
      <c r="AL2" s="29" t="s">
        <v>141</v>
      </c>
    </row>
    <row r="3" spans="1:38">
      <c r="AA3" s="29" t="str">
        <f ca="1">INDEX(Projects!$B$2:$B$1000,MATCH(AC3,Projects!$J$2:$J$1000,0))</f>
        <v>Steel Canopy Design</v>
      </c>
      <c r="AB3" s="30">
        <f ca="1">INDEX(Projects!$G$2:$G$1000,MATCH(AC3,Projects!$J$2:$J$1000,0))</f>
        <v>46225</v>
      </c>
      <c r="AC3" s="29" cm="1">
        <f t="array" aca="1" ref="AC3" ca="1">SMALL(IF(Projects!$J$2:$J$1000&gt;=0,Projects!$J$2:$J$1000),1)</f>
        <v>0</v>
      </c>
      <c r="AD3" s="29"/>
      <c r="AE3" s="29"/>
      <c r="AF3" s="29" t="str">
        <f ca="1">INDEX(Projects!$B$2:$B$1000,MATCH(1,Projects!$L$2:$L$1000,0))</f>
        <v>Warehouse Expansion</v>
      </c>
      <c r="AG3" s="29" t="str">
        <f ca="1">INDEX(Projects!$K$2:$K$1000,MATCH(1,Projects!$L$2:$L$1000,0))</f>
        <v>Overdue</v>
      </c>
      <c r="AJ3" s="29" t="str">
        <f ca="1">IFERROR(INDEX(Projects!$B$2:$B$1000,MATCH(ROW(A1),Projects!$N$2:$N$1000,0)),"")</f>
        <v>Commercial Building Foundation</v>
      </c>
      <c r="AK3" s="29" t="str">
        <f ca="1">IFERROR(INDEX(Projects!$H$2:$H$1000,MATCH(ROW(A1),Projects!$N$2:$N$1000,0)),"")</f>
        <v>Critical</v>
      </c>
      <c r="AL3" s="29">
        <f ca="1">IFERROR(INDEX(Projects!$J$2:$J$1000,MATCH(ROW(A1),Projects!$N$2:$N$1000,0)),"")</f>
        <v>14</v>
      </c>
    </row>
    <row r="4" spans="1:38">
      <c r="AA4" s="28" t="str">
        <f ca="1">INDEX(Projects!$B$2:$B$1000,MATCH(AC4,Projects!$J$2:$J$1000,0))</f>
        <v>University Laboratory Building</v>
      </c>
      <c r="AB4" s="30">
        <f ca="1">INDEX(Projects!$G$2:$G$1000,MATCH(AC4,Projects!$J$2:$J$1000,0))</f>
        <v>46227</v>
      </c>
      <c r="AC4" s="29" cm="1">
        <f t="array" aca="1" ref="AC4" ca="1">SMALL(IF(Projects!$J$2:$J$1000&gt;AC3,Projects!$J$2:$J$1000),1)</f>
        <v>2</v>
      </c>
      <c r="AD4" s="29"/>
      <c r="AE4" s="29"/>
      <c r="AF4" s="29" t="str">
        <f ca="1">INDEX(Projects!$B$2:$B$1000,MATCH(2,Projects!$L$2:$L$1000,0))</f>
        <v>Office Building Renovation</v>
      </c>
      <c r="AG4" s="29" t="str">
        <f ca="1">INDEX(Projects!$K$2:$K$1000,MATCH(2,Projects!$L$2:$L$1000,0))</f>
        <v>Due Soon</v>
      </c>
      <c r="AJ4" s="29" t="str">
        <f ca="1">IFERROR(INDEX(Projects!$B$2:$B$1000,MATCH(ROW(A2),Projects!$N$2:$N$1000,0)),"")</f>
        <v>Steel Canopy Design</v>
      </c>
      <c r="AK4" s="29" t="str">
        <f ca="1">IFERROR(INDEX(Projects!$H$2:$H$1000,MATCH(ROW(A2),Projects!$N$2:$N$1000,0)),"")</f>
        <v>High</v>
      </c>
      <c r="AL4" s="29">
        <f ca="1">IFERROR(INDEX(Projects!$J$2:$J$1000,MATCH(ROW(A2),Projects!$N$2:$N$1000,0)),"")</f>
        <v>0</v>
      </c>
    </row>
    <row r="5" spans="1:38">
      <c r="AA5" s="29" t="str">
        <f ca="1">INDEX(Projects!$B$2:$B$1000,MATCH(AC5,Projects!$J$2:$J$1000,0))</f>
        <v>Office Building Renovation</v>
      </c>
      <c r="AB5" s="31">
        <f ca="1">INDEX(Projects!$G$2:$G$1000,MATCH(AC5,Projects!$J$2:$J$1000,0))</f>
        <v>46228</v>
      </c>
      <c r="AC5" s="29" cm="1">
        <f t="array" aca="1" ref="AC5" ca="1">SMALL(IF(Projects!$J$2:$J$1000&gt;AC4,Projects!$J$2:$J$1000),1)</f>
        <v>3</v>
      </c>
      <c r="AD5" s="29"/>
      <c r="AE5" s="29"/>
      <c r="AF5" s="29" t="str">
        <f ca="1">INDEX(Projects!$B$2:$B$1000,MATCH(3,Projects!$L$2:$L$1000,0))</f>
        <v>Steel Canopy Design</v>
      </c>
      <c r="AG5" s="29" t="str">
        <f ca="1">INDEX(Projects!$K$2:$K$1000,MATCH(3,Projects!$L$2:$L$1000,0))</f>
        <v>Due Soon</v>
      </c>
      <c r="AJ5" s="29" t="str">
        <f ca="1">IFERROR(INDEX(Projects!$B$2:$B$1000,MATCH(ROW(A3),Projects!$N$2:$N$1000,0)),"")</f>
        <v>University Laboratory Building</v>
      </c>
      <c r="AK5" s="29" t="str">
        <f ca="1">IFERROR(INDEX(Projects!$H$2:$H$1000,MATCH(ROW(A3),Projects!$N$2:$N$1000,0)),"")</f>
        <v>High</v>
      </c>
      <c r="AL5" s="29">
        <f ca="1">IFERROR(INDEX(Projects!$J$2:$J$1000,MATCH(ROW(A3),Projects!$N$2:$N$1000,0)),"")</f>
        <v>2</v>
      </c>
    </row>
    <row r="6" spans="1:38">
      <c r="AB6" s="27"/>
    </row>
    <row r="7" spans="1:38">
      <c r="AB7" s="27"/>
    </row>
    <row r="8" spans="1:38">
      <c r="AB8" s="27"/>
    </row>
    <row r="9" spans="1:38">
      <c r="AA9" s="27"/>
      <c r="AB9" s="27"/>
    </row>
    <row r="10" spans="1:38">
      <c r="AB10" s="27"/>
    </row>
    <row r="11" spans="1:38">
      <c r="AB11" s="27"/>
    </row>
    <row r="12" spans="1:38">
      <c r="AB12" s="27"/>
    </row>
    <row r="13" spans="1:38">
      <c r="AB13" s="27"/>
    </row>
    <row r="14" spans="1:38">
      <c r="AB14" s="27"/>
    </row>
    <row r="15" spans="1:38">
      <c r="AB15" s="27"/>
    </row>
    <row r="16" spans="1:38">
      <c r="AB16" s="27"/>
    </row>
    <row r="17" spans="28:28">
      <c r="AB17" s="27"/>
    </row>
    <row r="18" spans="28:28">
      <c r="AB18" s="27"/>
    </row>
    <row r="19" spans="28:28">
      <c r="AB19" s="27"/>
    </row>
    <row r="20" spans="28:28">
      <c r="AB20" s="27"/>
    </row>
    <row r="21" spans="28:28">
      <c r="AB21" s="27"/>
    </row>
    <row r="22" spans="28:28">
      <c r="AB22" s="27"/>
    </row>
    <row r="23" spans="28:28">
      <c r="AB23" s="27"/>
    </row>
    <row r="24" spans="28:28">
      <c r="AB24" s="27"/>
    </row>
    <row r="25" spans="28:28">
      <c r="AB25" s="27"/>
    </row>
    <row r="26" spans="28:28">
      <c r="AB26" s="27"/>
    </row>
    <row r="27" spans="28:28">
      <c r="AB27" s="27"/>
    </row>
    <row r="28" spans="28:28">
      <c r="AB28" s="27"/>
    </row>
    <row r="29" spans="28:28">
      <c r="AB29" s="27"/>
    </row>
    <row r="30" spans="28:28">
      <c r="AB30" s="27"/>
    </row>
    <row r="31" spans="28:28">
      <c r="AB31" s="27"/>
    </row>
    <row r="32" spans="28:28">
      <c r="AB32" s="27"/>
    </row>
    <row r="33" spans="28:28">
      <c r="AB33" s="27"/>
    </row>
    <row r="34" spans="28:28">
      <c r="AB34" s="27"/>
    </row>
    <row r="35" spans="28:28">
      <c r="AB35" s="27"/>
    </row>
    <row r="36" spans="28:28">
      <c r="AB36" s="27"/>
    </row>
    <row r="37" spans="28:28">
      <c r="AB37" s="27"/>
    </row>
    <row r="38" spans="28:28">
      <c r="AB38" s="27"/>
    </row>
    <row r="39" spans="28:28">
      <c r="AB39" s="27"/>
    </row>
    <row r="40" spans="28:28">
      <c r="AB40" s="27"/>
    </row>
    <row r="41" spans="28:28">
      <c r="AB41" s="27"/>
    </row>
    <row r="42" spans="28:28">
      <c r="AB42" s="27"/>
    </row>
    <row r="43" spans="28:28">
      <c r="AB43" s="27"/>
    </row>
    <row r="44" spans="28:28">
      <c r="AB44" s="27"/>
    </row>
    <row r="45" spans="28:28">
      <c r="AB45" s="27"/>
    </row>
    <row r="46" spans="28:28">
      <c r="AB46" s="27"/>
    </row>
    <row r="47" spans="28:28">
      <c r="AB47" s="27"/>
    </row>
    <row r="48" spans="28:28">
      <c r="AB48" s="27"/>
    </row>
    <row r="49" spans="28:28">
      <c r="AB49" s="27"/>
    </row>
    <row r="50" spans="28:28">
      <c r="AB50" s="27"/>
    </row>
    <row r="51" spans="28:28">
      <c r="AB51" s="27"/>
    </row>
    <row r="52" spans="28:28">
      <c r="AB52" s="27"/>
    </row>
    <row r="53" spans="28:28">
      <c r="AB53" s="27"/>
    </row>
    <row r="54" spans="28:28">
      <c r="AB54" s="27"/>
    </row>
    <row r="55" spans="28:28">
      <c r="AB55" s="27"/>
    </row>
    <row r="56" spans="28:28">
      <c r="AB56" s="27"/>
    </row>
    <row r="57" spans="28:28">
      <c r="AB57" s="27"/>
    </row>
    <row r="58" spans="28:28">
      <c r="AB58" s="27"/>
    </row>
    <row r="59" spans="28:28">
      <c r="AB59" s="27"/>
    </row>
    <row r="60" spans="28:28">
      <c r="AB60" s="27"/>
    </row>
    <row r="61" spans="28:28">
      <c r="AB61" s="27"/>
    </row>
    <row r="62" spans="28:28">
      <c r="AB62" s="27"/>
    </row>
    <row r="63" spans="28:28">
      <c r="AB63" s="27"/>
    </row>
    <row r="64" spans="28:28">
      <c r="AB64" s="27"/>
    </row>
    <row r="65" spans="28:28">
      <c r="AB65" s="27"/>
    </row>
    <row r="66" spans="28:28">
      <c r="AB66" s="27"/>
    </row>
    <row r="67" spans="28:28">
      <c r="AB67" s="27"/>
    </row>
    <row r="68" spans="28:28">
      <c r="AB68" s="27"/>
    </row>
    <row r="69" spans="28:28">
      <c r="AB69" s="27"/>
    </row>
    <row r="70" spans="28:28">
      <c r="AB70" s="27"/>
    </row>
    <row r="71" spans="28:28">
      <c r="AB71" s="27"/>
    </row>
    <row r="72" spans="28:28">
      <c r="AB72" s="27"/>
    </row>
    <row r="73" spans="28:28">
      <c r="AB73" s="27"/>
    </row>
    <row r="74" spans="28:28">
      <c r="AB74" s="27"/>
    </row>
    <row r="75" spans="28:28">
      <c r="AB75" s="27"/>
    </row>
    <row r="76" spans="28:28">
      <c r="AB76" s="27"/>
    </row>
    <row r="77" spans="28:28">
      <c r="AB77" s="27"/>
    </row>
    <row r="78" spans="28:28">
      <c r="AB78" s="27"/>
    </row>
    <row r="79" spans="28:28">
      <c r="AB79" s="27"/>
    </row>
    <row r="80" spans="28:28">
      <c r="AB80" s="27"/>
    </row>
    <row r="81" spans="28:28">
      <c r="AB81" s="27"/>
    </row>
    <row r="82" spans="28:28">
      <c r="AB82" s="27"/>
    </row>
    <row r="83" spans="28:28">
      <c r="AB83" s="27"/>
    </row>
    <row r="84" spans="28:28">
      <c r="AB84" s="27"/>
    </row>
    <row r="85" spans="28:28">
      <c r="AB85" s="27"/>
    </row>
    <row r="86" spans="28:28">
      <c r="AB86" s="27"/>
    </row>
    <row r="87" spans="28:28">
      <c r="AB87" s="27"/>
    </row>
    <row r="88" spans="28:28">
      <c r="AB88" s="27"/>
    </row>
    <row r="89" spans="28:28">
      <c r="AB89" s="27"/>
    </row>
    <row r="90" spans="28:28">
      <c r="AB90" s="27"/>
    </row>
    <row r="91" spans="28:28">
      <c r="AB91" s="27"/>
    </row>
    <row r="92" spans="28:28">
      <c r="AB92" s="27"/>
    </row>
    <row r="93" spans="28:28">
      <c r="AB93" s="27"/>
    </row>
    <row r="94" spans="28:28">
      <c r="AB94" s="27"/>
    </row>
    <row r="95" spans="28:28">
      <c r="AB95" s="27"/>
    </row>
    <row r="96" spans="28:28">
      <c r="AB96" s="27"/>
    </row>
    <row r="97" spans="28:28">
      <c r="AB97" s="27"/>
    </row>
    <row r="98" spans="28:28">
      <c r="AB98" s="27"/>
    </row>
  </sheetData>
  <mergeCells count="3">
    <mergeCell ref="AA1:AC1"/>
    <mergeCell ref="AF1:AG1"/>
    <mergeCell ref="AJ1:AL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27B8F-9961-4185-9437-8B7566F334BB}">
  <sheetPr codeName="Sheet5"/>
  <dimension ref="A1:J15"/>
  <sheetViews>
    <sheetView workbookViewId="0">
      <selection activeCell="F20" sqref="F20"/>
    </sheetView>
  </sheetViews>
  <sheetFormatPr defaultRowHeight="15"/>
  <cols>
    <col min="1" max="1" width="18.85546875" customWidth="1"/>
    <col min="2" max="3" width="8" customWidth="1"/>
    <col min="4" max="4" width="18.85546875" customWidth="1"/>
    <col min="5" max="6" width="8" customWidth="1"/>
    <col min="7" max="7" width="18.85546875" customWidth="1"/>
    <col min="8" max="9" width="8" customWidth="1"/>
    <col min="10" max="10" width="18.85546875" customWidth="1"/>
  </cols>
  <sheetData>
    <row r="1" spans="1:10">
      <c r="A1" s="1" t="s">
        <v>4</v>
      </c>
      <c r="B1" s="1"/>
      <c r="D1" t="s">
        <v>7</v>
      </c>
      <c r="G1" t="s">
        <v>3</v>
      </c>
      <c r="J1" t="s">
        <v>2</v>
      </c>
    </row>
    <row r="2" spans="1:10">
      <c r="A2" s="3" t="s">
        <v>19</v>
      </c>
      <c r="B2" s="3"/>
      <c r="D2" t="s">
        <v>23</v>
      </c>
      <c r="G2" t="s">
        <v>65</v>
      </c>
      <c r="J2" t="s">
        <v>27</v>
      </c>
    </row>
    <row r="3" spans="1:10">
      <c r="A3" s="3" t="s">
        <v>20</v>
      </c>
      <c r="B3" s="3"/>
      <c r="D3" t="s">
        <v>24</v>
      </c>
      <c r="G3" t="s">
        <v>41</v>
      </c>
      <c r="J3" t="s">
        <v>28</v>
      </c>
    </row>
    <row r="4" spans="1:10">
      <c r="A4" s="3" t="s">
        <v>21</v>
      </c>
      <c r="B4" s="3"/>
      <c r="D4" t="s">
        <v>25</v>
      </c>
      <c r="G4" t="s">
        <v>42</v>
      </c>
      <c r="J4" t="s">
        <v>29</v>
      </c>
    </row>
    <row r="5" spans="1:10">
      <c r="A5" s="3" t="s">
        <v>22</v>
      </c>
      <c r="B5" s="3"/>
      <c r="D5" t="s">
        <v>26</v>
      </c>
      <c r="G5" t="s">
        <v>43</v>
      </c>
      <c r="J5" t="s">
        <v>44</v>
      </c>
    </row>
    <row r="6" spans="1:10">
      <c r="A6" s="3" t="s">
        <v>39</v>
      </c>
      <c r="B6" s="3"/>
    </row>
    <row r="7" spans="1:10">
      <c r="A7" s="3" t="s">
        <v>40</v>
      </c>
      <c r="B7" s="3"/>
    </row>
    <row r="8" spans="1:10">
      <c r="A8" s="3"/>
      <c r="B8" s="3"/>
    </row>
    <row r="9" spans="1:10">
      <c r="A9" s="3"/>
      <c r="B9" s="3"/>
    </row>
    <row r="10" spans="1:10">
      <c r="A10" s="3"/>
      <c r="B10" s="3"/>
    </row>
    <row r="11" spans="1:10">
      <c r="A11" s="3"/>
      <c r="B11" s="3"/>
    </row>
    <row r="12" spans="1:10">
      <c r="A12" s="3"/>
      <c r="B12" s="3"/>
    </row>
    <row r="13" spans="1:10">
      <c r="A13" s="3"/>
      <c r="B13" s="3"/>
    </row>
    <row r="14" spans="1:10">
      <c r="A14" s="3"/>
      <c r="B14" s="3"/>
    </row>
    <row r="15" spans="1:10">
      <c r="A15" s="3"/>
      <c r="B15" s="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9F5A9-6D3B-46C9-A3FB-911468B1673C}">
  <sheetPr codeName="Sheet6"/>
  <dimension ref="A1:L10"/>
  <sheetViews>
    <sheetView workbookViewId="0">
      <selection activeCell="E12" sqref="E12"/>
    </sheetView>
  </sheetViews>
  <sheetFormatPr defaultRowHeight="32.25" customHeight="1"/>
  <cols>
    <col min="1" max="3" width="23.7109375" customWidth="1"/>
    <col min="5" max="6" width="23.7109375" customWidth="1"/>
    <col min="8" max="9" width="23.7109375" customWidth="1"/>
    <col min="11" max="12" width="23.7109375" customWidth="1"/>
  </cols>
  <sheetData>
    <row r="1" spans="1:12" ht="32.25" customHeight="1">
      <c r="A1" s="49" t="s">
        <v>106</v>
      </c>
      <c r="B1" s="49"/>
      <c r="C1" s="49"/>
      <c r="D1" s="2"/>
      <c r="E1" s="49" t="s">
        <v>108</v>
      </c>
      <c r="F1" s="49"/>
      <c r="G1" s="2"/>
      <c r="H1" s="49" t="s">
        <v>119</v>
      </c>
      <c r="I1" s="49"/>
      <c r="J1" s="2"/>
      <c r="K1" s="49" t="s">
        <v>132</v>
      </c>
      <c r="L1" s="49"/>
    </row>
    <row r="2" spans="1:12" ht="32.25" customHeight="1">
      <c r="A2" s="6" t="s">
        <v>88</v>
      </c>
      <c r="B2" s="6" t="s">
        <v>89</v>
      </c>
      <c r="C2" s="6" t="s">
        <v>107</v>
      </c>
      <c r="E2" s="6" t="s">
        <v>109</v>
      </c>
      <c r="F2" s="7" t="s">
        <v>110</v>
      </c>
      <c r="H2" s="6" t="s">
        <v>120</v>
      </c>
      <c r="I2" s="7" t="s">
        <v>126</v>
      </c>
      <c r="K2" s="6" t="s">
        <v>133</v>
      </c>
      <c r="L2" s="7" t="s">
        <v>138</v>
      </c>
    </row>
    <row r="3" spans="1:12" ht="32.25" customHeight="1">
      <c r="A3" s="7" t="s">
        <v>90</v>
      </c>
      <c r="B3" s="7" t="s">
        <v>91</v>
      </c>
      <c r="C3" s="8"/>
      <c r="E3" s="18" t="s">
        <v>111</v>
      </c>
      <c r="F3" s="17" t="s">
        <v>112</v>
      </c>
      <c r="H3" s="18" t="s">
        <v>121</v>
      </c>
      <c r="I3" s="17" t="s">
        <v>127</v>
      </c>
      <c r="K3" s="18" t="s">
        <v>134</v>
      </c>
      <c r="L3" s="17" t="s">
        <v>137</v>
      </c>
    </row>
    <row r="4" spans="1:12" ht="32.25" customHeight="1">
      <c r="A4" s="7" t="s">
        <v>92</v>
      </c>
      <c r="B4" s="7" t="s">
        <v>93</v>
      </c>
      <c r="C4" s="9"/>
      <c r="E4" s="18" t="s">
        <v>113</v>
      </c>
      <c r="F4" s="17" t="s">
        <v>114</v>
      </c>
      <c r="H4" s="18" t="s">
        <v>122</v>
      </c>
      <c r="I4" s="7" t="s">
        <v>131</v>
      </c>
      <c r="K4" s="18" t="s">
        <v>135</v>
      </c>
      <c r="L4" s="17" t="s">
        <v>136</v>
      </c>
    </row>
    <row r="5" spans="1:12" ht="32.25" customHeight="1">
      <c r="A5" s="7" t="s">
        <v>94</v>
      </c>
      <c r="B5" s="7" t="s">
        <v>95</v>
      </c>
      <c r="C5" s="10"/>
      <c r="E5" s="18" t="s">
        <v>115</v>
      </c>
      <c r="F5" s="17" t="s">
        <v>116</v>
      </c>
      <c r="H5" s="18" t="s">
        <v>123</v>
      </c>
      <c r="I5" s="17" t="s">
        <v>128</v>
      </c>
    </row>
    <row r="6" spans="1:12" ht="32.25" customHeight="1">
      <c r="A6" s="7" t="s">
        <v>96</v>
      </c>
      <c r="B6" s="7" t="s">
        <v>97</v>
      </c>
      <c r="C6" s="11"/>
      <c r="E6" s="18" t="s">
        <v>117</v>
      </c>
      <c r="F6" s="17" t="s">
        <v>118</v>
      </c>
      <c r="H6" s="18" t="s">
        <v>124</v>
      </c>
      <c r="I6" s="17" t="s">
        <v>129</v>
      </c>
    </row>
    <row r="7" spans="1:12" ht="32.25" customHeight="1">
      <c r="A7" s="7" t="s">
        <v>98</v>
      </c>
      <c r="B7" s="7" t="s">
        <v>99</v>
      </c>
      <c r="C7" s="12"/>
      <c r="H7" s="18" t="s">
        <v>125</v>
      </c>
      <c r="I7" s="17" t="s">
        <v>130</v>
      </c>
    </row>
    <row r="8" spans="1:12" ht="32.25" customHeight="1">
      <c r="A8" s="7" t="s">
        <v>100</v>
      </c>
      <c r="B8" s="7" t="s">
        <v>101</v>
      </c>
      <c r="C8" s="13"/>
    </row>
    <row r="9" spans="1:12" ht="32.25" customHeight="1">
      <c r="A9" s="7" t="s">
        <v>102</v>
      </c>
      <c r="B9" s="7" t="s">
        <v>103</v>
      </c>
      <c r="C9" s="14"/>
    </row>
    <row r="10" spans="1:12" ht="32.25" customHeight="1">
      <c r="A10" s="7" t="s">
        <v>104</v>
      </c>
      <c r="B10" s="7" t="s">
        <v>105</v>
      </c>
      <c r="C10" s="15"/>
    </row>
  </sheetData>
  <mergeCells count="4">
    <mergeCell ref="A1:C1"/>
    <mergeCell ref="E1:F1"/>
    <mergeCell ref="H1:I1"/>
    <mergeCell ref="K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27A3D-C426-4A84-B3C4-864D34A1261E}">
  <sheetPr codeName="Sheet7"/>
  <dimension ref="B1:N19"/>
  <sheetViews>
    <sheetView workbookViewId="0">
      <selection activeCell="M14" sqref="M14"/>
    </sheetView>
  </sheetViews>
  <sheetFormatPr defaultRowHeight="15"/>
  <cols>
    <col min="1" max="1" width="19.7109375" customWidth="1"/>
    <col min="2" max="2" width="10.85546875" bestFit="1" customWidth="1"/>
    <col min="3" max="3" width="8.140625" bestFit="1" customWidth="1"/>
    <col min="4" max="5" width="20.7109375" customWidth="1"/>
    <col min="6" max="6" width="15.42578125" bestFit="1" customWidth="1"/>
    <col min="7" max="7" width="6.28515625" bestFit="1" customWidth="1"/>
    <col min="8" max="9" width="20.7109375" customWidth="1"/>
    <col min="10" max="10" width="19.5703125" bestFit="1" customWidth="1"/>
    <col min="11" max="11" width="6.28515625" bestFit="1" customWidth="1"/>
    <col min="14" max="14" width="19.5703125" customWidth="1"/>
  </cols>
  <sheetData>
    <row r="1" spans="2:14">
      <c r="B1" s="19" t="s">
        <v>4</v>
      </c>
      <c r="C1" t="s">
        <v>120</v>
      </c>
      <c r="F1" s="19" t="s">
        <v>125</v>
      </c>
      <c r="G1" t="s">
        <v>139</v>
      </c>
      <c r="J1" s="19" t="s">
        <v>2</v>
      </c>
      <c r="K1" t="s">
        <v>139</v>
      </c>
      <c r="N1" s="25" t="s">
        <v>84</v>
      </c>
    </row>
    <row r="2" spans="2:14">
      <c r="B2" s="16" t="s">
        <v>19</v>
      </c>
      <c r="C2">
        <v>2</v>
      </c>
      <c r="F2" s="16" t="s">
        <v>43</v>
      </c>
      <c r="G2">
        <v>3</v>
      </c>
      <c r="J2" s="16" t="s">
        <v>27</v>
      </c>
      <c r="K2">
        <v>4</v>
      </c>
      <c r="N2" s="26">
        <f>COUNTA(tblProjects[Project ID])</f>
        <v>15</v>
      </c>
    </row>
    <row r="3" spans="2:14">
      <c r="B3" s="16" t="s">
        <v>20</v>
      </c>
      <c r="C3">
        <v>3</v>
      </c>
      <c r="F3" s="16" t="s">
        <v>65</v>
      </c>
      <c r="G3">
        <v>5</v>
      </c>
      <c r="J3" s="16" t="s">
        <v>44</v>
      </c>
      <c r="K3">
        <v>3</v>
      </c>
    </row>
    <row r="4" spans="2:14">
      <c r="B4" s="16" t="s">
        <v>21</v>
      </c>
      <c r="C4">
        <v>3</v>
      </c>
      <c r="F4" s="16" t="s">
        <v>41</v>
      </c>
      <c r="G4">
        <v>4</v>
      </c>
      <c r="J4" s="16" t="s">
        <v>29</v>
      </c>
      <c r="K4">
        <v>4</v>
      </c>
    </row>
    <row r="5" spans="2:14">
      <c r="B5" s="16" t="s">
        <v>22</v>
      </c>
      <c r="C5">
        <v>4</v>
      </c>
      <c r="F5" s="16" t="s">
        <v>42</v>
      </c>
      <c r="G5">
        <v>3</v>
      </c>
      <c r="J5" s="16" t="s">
        <v>28</v>
      </c>
      <c r="K5">
        <v>4</v>
      </c>
    </row>
    <row r="6" spans="2:14">
      <c r="B6" s="16" t="s">
        <v>39</v>
      </c>
      <c r="C6">
        <v>1</v>
      </c>
    </row>
    <row r="7" spans="2:14">
      <c r="B7" s="16" t="s">
        <v>40</v>
      </c>
      <c r="C7">
        <v>2</v>
      </c>
    </row>
    <row r="15" spans="2:14">
      <c r="B15" s="19" t="s">
        <v>46</v>
      </c>
      <c r="C15" t="s">
        <v>139</v>
      </c>
      <c r="F15" s="19" t="s">
        <v>7</v>
      </c>
      <c r="G15" t="s">
        <v>139</v>
      </c>
    </row>
    <row r="16" spans="2:14">
      <c r="B16" s="16" t="s">
        <v>86</v>
      </c>
      <c r="C16">
        <v>3</v>
      </c>
      <c r="F16" s="16" t="s">
        <v>26</v>
      </c>
      <c r="G16">
        <v>3</v>
      </c>
    </row>
    <row r="17" spans="2:7">
      <c r="B17" s="16" t="s">
        <v>85</v>
      </c>
      <c r="C17">
        <v>9</v>
      </c>
      <c r="F17" s="16" t="s">
        <v>25</v>
      </c>
      <c r="G17">
        <v>6</v>
      </c>
    </row>
    <row r="18" spans="2:7">
      <c r="B18" s="16" t="s">
        <v>87</v>
      </c>
      <c r="C18">
        <v>3</v>
      </c>
      <c r="F18" s="16" t="s">
        <v>23</v>
      </c>
      <c r="G18">
        <v>2</v>
      </c>
    </row>
    <row r="19" spans="2:7">
      <c r="F19" s="16" t="s">
        <v>24</v>
      </c>
      <c r="G19">
        <v>4</v>
      </c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66FF44-3EE8-4A2A-A76E-F4F9E87024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Dashboard</vt:lpstr>
      <vt:lpstr>Projects</vt:lpstr>
      <vt:lpstr>Submittals</vt:lpstr>
      <vt:lpstr>Calculations</vt:lpstr>
      <vt:lpstr>Settings</vt:lpstr>
      <vt:lpstr>Design System</vt:lpstr>
      <vt:lpstr>PivotData</vt:lpstr>
      <vt:lpstr>ClientList</vt:lpstr>
      <vt:lpstr>EngineerList</vt:lpstr>
      <vt:lpstr>Dashboard!Print_Area</vt:lpstr>
      <vt:lpstr>PriorityList</vt:lpstr>
      <vt:lpstr>StatusList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Carlo Magpantay</dc:creator>
  <cp:lastModifiedBy>John Carlo Magpantay</cp:lastModifiedBy>
  <cp:lastPrinted>2026-07-22T07:48:36Z</cp:lastPrinted>
  <dcterms:created xsi:type="dcterms:W3CDTF">2026-07-18T09:15:01Z</dcterms:created>
  <dcterms:modified xsi:type="dcterms:W3CDTF">2026-07-22T07:48:44Z</dcterms:modified>
</cp:coreProperties>
</file>